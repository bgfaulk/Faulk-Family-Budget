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anfaulk/dev/Faulk-Family-Budget/"/>
    </mc:Choice>
  </mc:AlternateContent>
  <xr:revisionPtr revIDLastSave="0" documentId="8_{7D253125-3A1B-D24C-925D-B80C2EB8876D}" xr6:coauthVersionLast="47" xr6:coauthVersionMax="47" xr10:uidLastSave="{00000000-0000-0000-0000-000000000000}"/>
  <bookViews>
    <workbookView xWindow="0" yWindow="660" windowWidth="29040" windowHeight="15840" tabRatio="891" firstSheet="55" activeTab="11" xr2:uid="{00000000-000D-0000-FFFF-FFFF00000000}"/>
  </bookViews>
  <sheets>
    <sheet name="Lauren no longer working" sheetId="140" r:id="rId1"/>
    <sheet name="June 2022" sheetId="143" r:id="rId2"/>
    <sheet name="May 2022" sheetId="142" r:id="rId3"/>
    <sheet name="April 2022" sheetId="141" r:id="rId4"/>
    <sheet name="March 2022" sheetId="139" r:id="rId5"/>
    <sheet name="February 2022" sheetId="138" r:id="rId6"/>
    <sheet name="January 2022" sheetId="137" r:id="rId7"/>
    <sheet name="December 2021" sheetId="136" r:id="rId8"/>
    <sheet name="November 2021" sheetId="135" r:id="rId9"/>
    <sheet name="October 2021" sheetId="134" r:id="rId10"/>
    <sheet name="September 2021" sheetId="133" r:id="rId11"/>
    <sheet name="August 2021" sheetId="131" r:id="rId12"/>
    <sheet name="July 2021" sheetId="130" r:id="rId13"/>
    <sheet name="June 2021" sheetId="129" r:id="rId14"/>
    <sheet name="May 2021" sheetId="128" r:id="rId15"/>
    <sheet name="April 2021" sheetId="127" r:id="rId16"/>
    <sheet name="March 2021" sheetId="126" r:id="rId17"/>
    <sheet name="February 2021" sheetId="125" r:id="rId18"/>
    <sheet name="January 2021" sheetId="124" r:id="rId19"/>
    <sheet name="December 2020" sheetId="123" r:id="rId20"/>
    <sheet name="November 2020" sheetId="122" r:id="rId21"/>
    <sheet name="October 2020" sheetId="121" r:id="rId22"/>
    <sheet name="September 2020" sheetId="120" r:id="rId23"/>
    <sheet name="August 2020" sheetId="119" r:id="rId24"/>
    <sheet name="July 2020" sheetId="118" r:id="rId25"/>
    <sheet name="June 2020" sheetId="117" r:id="rId26"/>
    <sheet name="May 2020" sheetId="116" r:id="rId27"/>
    <sheet name="April 2020" sheetId="115" r:id="rId28"/>
    <sheet name="March 2020" sheetId="114" r:id="rId29"/>
    <sheet name="February 2020" sheetId="112" r:id="rId30"/>
    <sheet name="January 2020" sheetId="111" r:id="rId31"/>
    <sheet name="December 2019" sheetId="110" r:id="rId32"/>
    <sheet name="November 2019" sheetId="109" r:id="rId33"/>
    <sheet name="October 2019" sheetId="108" r:id="rId34"/>
    <sheet name="September 2019" sheetId="107" r:id="rId35"/>
    <sheet name="August 2019" sheetId="106" r:id="rId36"/>
    <sheet name="July 2019" sheetId="105" r:id="rId37"/>
    <sheet name="June 2019" sheetId="104" r:id="rId38"/>
    <sheet name="May 2019" sheetId="103" r:id="rId39"/>
    <sheet name="April 2019" sheetId="102" r:id="rId40"/>
    <sheet name="March 2019" sheetId="101" r:id="rId41"/>
    <sheet name="February 2019" sheetId="100" r:id="rId42"/>
    <sheet name="January 2019" sheetId="99" r:id="rId43"/>
    <sheet name="December 2018" sheetId="98" r:id="rId44"/>
    <sheet name="November 2018" sheetId="97" r:id="rId45"/>
    <sheet name="October 2018" sheetId="96" r:id="rId46"/>
    <sheet name="September 2018" sheetId="95" r:id="rId47"/>
    <sheet name="August 2018" sheetId="94" r:id="rId48"/>
    <sheet name="July 2018" sheetId="93" r:id="rId49"/>
    <sheet name="June 2018" sheetId="92" r:id="rId50"/>
    <sheet name="May 2018" sheetId="91" r:id="rId51"/>
    <sheet name="April 2018" sheetId="90" r:id="rId52"/>
    <sheet name="March 2018" sheetId="89" r:id="rId53"/>
    <sheet name="February 2018" sheetId="88" r:id="rId54"/>
    <sheet name="January 2018" sheetId="87" r:id="rId55"/>
    <sheet name="December 2017" sheetId="85" r:id="rId56"/>
    <sheet name="November 2017" sheetId="84" r:id="rId57"/>
    <sheet name="October 2017" sheetId="83" r:id="rId58"/>
    <sheet name="September 2017" sheetId="82" r:id="rId59"/>
    <sheet name="August 2017" sheetId="81" r:id="rId60"/>
    <sheet name="July 2017" sheetId="80" r:id="rId61"/>
    <sheet name="June 2017" sheetId="79" r:id="rId62"/>
    <sheet name="May 2017" sheetId="78" r:id="rId63"/>
    <sheet name="April 2017" sheetId="77" r:id="rId64"/>
    <sheet name="March 2017" sheetId="76" r:id="rId65"/>
    <sheet name="February 2017" sheetId="75" r:id="rId66"/>
    <sheet name="January 2017" sheetId="74" r:id="rId67"/>
    <sheet name="December 2016" sheetId="73" r:id="rId68"/>
    <sheet name="November 2016" sheetId="72" r:id="rId69"/>
    <sheet name="October 2016" sheetId="71" r:id="rId70"/>
    <sheet name="September 2016" sheetId="70" r:id="rId71"/>
    <sheet name="August 2016" sheetId="69" r:id="rId72"/>
    <sheet name="July 2016" sheetId="68" r:id="rId73"/>
    <sheet name="June 2016" sheetId="67" r:id="rId74"/>
    <sheet name="May 2016" sheetId="66" r:id="rId75"/>
    <sheet name="April 2016" sheetId="65" r:id="rId76"/>
    <sheet name="March 2016" sheetId="64" r:id="rId77"/>
    <sheet name="February 2016" sheetId="63" r:id="rId78"/>
    <sheet name="January 2016" sheetId="62" r:id="rId79"/>
    <sheet name="December 2015" sheetId="61" r:id="rId80"/>
    <sheet name="November 2015" sheetId="60" r:id="rId81"/>
    <sheet name="October 2015" sheetId="59" r:id="rId82"/>
    <sheet name="September 2015" sheetId="58" r:id="rId83"/>
    <sheet name="August 2015" sheetId="57" r:id="rId84"/>
    <sheet name="July 2015" sheetId="56" r:id="rId85"/>
    <sheet name="June 2015" sheetId="55" r:id="rId86"/>
    <sheet name="May 2015" sheetId="54" r:id="rId87"/>
    <sheet name="April 2015" sheetId="53" r:id="rId88"/>
    <sheet name="March 2015" sheetId="52" r:id="rId89"/>
    <sheet name="February 2015" sheetId="50" r:id="rId90"/>
    <sheet name="January 2015" sheetId="49" r:id="rId91"/>
    <sheet name="December 2014" sheetId="48" r:id="rId92"/>
    <sheet name="November 2014" sheetId="47" r:id="rId93"/>
    <sheet name="October 2014" sheetId="46" r:id="rId94"/>
    <sheet name="September 2014" sheetId="45" r:id="rId95"/>
    <sheet name="August 2014" sheetId="44" r:id="rId96"/>
    <sheet name="July 2014" sheetId="42" r:id="rId97"/>
    <sheet name="June 2014" sheetId="41" r:id="rId98"/>
    <sheet name="May 2014" sheetId="40" r:id="rId99"/>
    <sheet name="April 2014" sheetId="39" r:id="rId100"/>
    <sheet name="March 2014" sheetId="38" r:id="rId101"/>
    <sheet name="February 2014" sheetId="37" r:id="rId102"/>
    <sheet name="January 2014" sheetId="36" r:id="rId103"/>
    <sheet name="December 2013" sheetId="35" r:id="rId104"/>
    <sheet name="November 2013" sheetId="34" r:id="rId105"/>
    <sheet name="October 2013" sheetId="33" r:id="rId106"/>
    <sheet name="September 2013" sheetId="32" r:id="rId107"/>
    <sheet name="August 2013" sheetId="31" r:id="rId108"/>
    <sheet name="July 2013" sheetId="30" r:id="rId109"/>
    <sheet name="June 2013" sheetId="29" r:id="rId110"/>
    <sheet name="May 2013" sheetId="28" r:id="rId111"/>
    <sheet name="April 2013" sheetId="27" r:id="rId112"/>
    <sheet name="March 2013" sheetId="26" r:id="rId113"/>
    <sheet name="February 2013" sheetId="25" r:id="rId114"/>
    <sheet name="January 2013" sheetId="24" r:id="rId115"/>
    <sheet name="December 2012" sheetId="23" r:id="rId116"/>
    <sheet name="November 2012" sheetId="22" r:id="rId117"/>
    <sheet name="October 2012" sheetId="21" r:id="rId118"/>
    <sheet name="September 2012" sheetId="20" r:id="rId119"/>
    <sheet name="August 2012" sheetId="19" r:id="rId120"/>
    <sheet name="July 2012" sheetId="18" r:id="rId121"/>
    <sheet name="June 2012" sheetId="17" r:id="rId122"/>
    <sheet name="May 2012" sheetId="16" r:id="rId123"/>
    <sheet name="April 2012" sheetId="15" r:id="rId124"/>
    <sheet name="March 2012" sheetId="14" r:id="rId125"/>
    <sheet name="February 2012" sheetId="13" r:id="rId126"/>
    <sheet name="January 2012" sheetId="12" r:id="rId127"/>
    <sheet name="December 2011" sheetId="11" r:id="rId128"/>
    <sheet name="November 2011" sheetId="10" r:id="rId129"/>
    <sheet name="October 2011" sheetId="9" r:id="rId130"/>
    <sheet name="September 2011" sheetId="8" r:id="rId131"/>
    <sheet name="August 2011" sheetId="7" r:id="rId132"/>
    <sheet name="July 2011" sheetId="6" r:id="rId133"/>
    <sheet name="June 2011" sheetId="5" r:id="rId134"/>
    <sheet name="May 2011" sheetId="4" r:id="rId135"/>
    <sheet name="April 2011" sheetId="1" r:id="rId1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43" l="1"/>
  <c r="F6" i="143"/>
  <c r="G3" i="143"/>
  <c r="F3" i="143"/>
  <c r="H3" i="143" s="1"/>
  <c r="H6" i="143" l="1"/>
  <c r="F12" i="143" s="1"/>
  <c r="G6" i="142"/>
  <c r="F6" i="142" l="1"/>
  <c r="G3" i="142"/>
  <c r="F3" i="142"/>
  <c r="H3" i="142" s="1"/>
  <c r="H6" i="142" l="1"/>
  <c r="F12" i="142" s="1"/>
  <c r="F36" i="141"/>
  <c r="F39" i="141" s="1"/>
  <c r="G6" i="141" l="1"/>
  <c r="H6" i="141" s="1"/>
  <c r="F6" i="141"/>
  <c r="G3" i="141"/>
  <c r="F3" i="141"/>
  <c r="H3" i="141" s="1"/>
  <c r="F12" i="141" l="1"/>
  <c r="G6" i="140"/>
  <c r="G3" i="140"/>
  <c r="F6" i="140"/>
  <c r="F3" i="140"/>
  <c r="H6" i="140" l="1"/>
  <c r="H3" i="140"/>
  <c r="G6" i="139"/>
  <c r="F6" i="139"/>
  <c r="G3" i="139"/>
  <c r="F3" i="139"/>
  <c r="H3" i="139" l="1"/>
  <c r="H6" i="139"/>
  <c r="F12" i="139" s="1"/>
  <c r="F12" i="140"/>
  <c r="G6" i="138"/>
  <c r="G3" i="138"/>
  <c r="F6" i="138" l="1"/>
  <c r="F3" i="138"/>
  <c r="H3" i="138" l="1"/>
  <c r="H6" i="138"/>
  <c r="G6" i="137"/>
  <c r="F6" i="137"/>
  <c r="G3" i="137"/>
  <c r="F3" i="137"/>
  <c r="F12" i="138" l="1"/>
  <c r="H3" i="137"/>
  <c r="H6" i="137"/>
  <c r="G6" i="136"/>
  <c r="F6" i="136"/>
  <c r="G3" i="136"/>
  <c r="F3" i="136"/>
  <c r="F12" i="137" l="1"/>
  <c r="H3" i="136"/>
  <c r="H6" i="136"/>
  <c r="G6" i="135"/>
  <c r="F6" i="135"/>
  <c r="G3" i="135"/>
  <c r="F3" i="135"/>
  <c r="F12" i="136" l="1"/>
  <c r="H6" i="135"/>
  <c r="H3" i="135"/>
  <c r="F12" i="135" s="1"/>
  <c r="G6" i="134"/>
  <c r="F6" i="134"/>
  <c r="G3" i="134"/>
  <c r="F3" i="134"/>
  <c r="H3" i="134" l="1"/>
  <c r="H6" i="134"/>
  <c r="F6" i="133"/>
  <c r="F3" i="133"/>
  <c r="F12" i="134" l="1"/>
  <c r="G6" i="133"/>
  <c r="G3" i="133"/>
  <c r="H3" i="133" s="1"/>
  <c r="H6" i="133" l="1"/>
  <c r="F12" i="133" s="1"/>
  <c r="G6" i="131" l="1"/>
  <c r="G6" i="130" l="1"/>
  <c r="F6" i="131" l="1"/>
  <c r="G3" i="131"/>
  <c r="F3" i="131"/>
  <c r="H3" i="131" l="1"/>
  <c r="H6" i="131"/>
  <c r="F6" i="130"/>
  <c r="G3" i="130"/>
  <c r="F3" i="130"/>
  <c r="F12" i="131" l="1"/>
  <c r="H3" i="130"/>
  <c r="H6" i="130"/>
  <c r="G6" i="129"/>
  <c r="G3" i="129"/>
  <c r="F12" i="130" l="1"/>
  <c r="F6" i="129"/>
  <c r="F3" i="129"/>
  <c r="H6" i="129" l="1"/>
  <c r="H3" i="129"/>
  <c r="G6" i="128"/>
  <c r="F6" i="128"/>
  <c r="G3" i="128"/>
  <c r="F3" i="128"/>
  <c r="H6" i="128" l="1"/>
  <c r="F12" i="129"/>
  <c r="H3" i="128"/>
  <c r="G6" i="127"/>
  <c r="F6" i="127"/>
  <c r="G3" i="127"/>
  <c r="F3" i="127"/>
  <c r="F12" i="128" l="1"/>
  <c r="H3" i="127"/>
  <c r="H6" i="127"/>
  <c r="G6" i="126"/>
  <c r="F6" i="126"/>
  <c r="G3" i="126"/>
  <c r="F3" i="126"/>
  <c r="H3" i="126" l="1"/>
  <c r="F12" i="127"/>
  <c r="H6" i="126"/>
  <c r="G6" i="125"/>
  <c r="F12" i="126" l="1"/>
  <c r="F6" i="125"/>
  <c r="G3" i="125"/>
  <c r="F3" i="125"/>
  <c r="H6" i="125" l="1"/>
  <c r="H3" i="125"/>
  <c r="G6" i="124"/>
  <c r="F6" i="124"/>
  <c r="G3" i="124"/>
  <c r="F3" i="124"/>
  <c r="H3" i="124" l="1"/>
  <c r="F12" i="125"/>
  <c r="H6" i="124"/>
  <c r="G6" i="123"/>
  <c r="G3" i="123"/>
  <c r="F12" i="124" l="1"/>
  <c r="F6" i="123"/>
  <c r="F3" i="123"/>
  <c r="H3" i="123" s="1"/>
  <c r="H6" i="123" l="1"/>
  <c r="F12" i="123" s="1"/>
  <c r="G6" i="122"/>
  <c r="G3" i="122" l="1"/>
  <c r="F6" i="122" l="1"/>
  <c r="H6" i="122" s="1"/>
  <c r="F3" i="122"/>
  <c r="H3" i="122" l="1"/>
  <c r="F12" i="122" s="1"/>
  <c r="G6" i="121"/>
  <c r="F6" i="121"/>
  <c r="G3" i="121"/>
  <c r="F3" i="121"/>
  <c r="H6" i="121" l="1"/>
  <c r="H3" i="121"/>
  <c r="F36" i="119"/>
  <c r="F37" i="119" s="1"/>
  <c r="F38" i="119" s="1"/>
  <c r="F39" i="119" s="1"/>
  <c r="F40" i="119" s="1"/>
  <c r="F41" i="119" s="1"/>
  <c r="F42" i="119" s="1"/>
  <c r="F43" i="119" s="1"/>
  <c r="F44" i="119" s="1"/>
  <c r="F45" i="119" s="1"/>
  <c r="F46" i="119" s="1"/>
  <c r="F47" i="119" s="1"/>
  <c r="F48" i="119" s="1"/>
  <c r="F49" i="119" s="1"/>
  <c r="F50" i="119" s="1"/>
  <c r="F51" i="119" s="1"/>
  <c r="F52" i="119" s="1"/>
  <c r="F53" i="119" s="1"/>
  <c r="F54" i="119" s="1"/>
  <c r="F55" i="119" s="1"/>
  <c r="F56" i="119" s="1"/>
  <c r="F57" i="119" s="1"/>
  <c r="F58" i="119" s="1"/>
  <c r="F59" i="119" s="1"/>
  <c r="F60" i="119" s="1"/>
  <c r="F61" i="119" s="1"/>
  <c r="F62" i="119" s="1"/>
  <c r="F63" i="119" s="1"/>
  <c r="F64" i="119" s="1"/>
  <c r="F65" i="119" s="1"/>
  <c r="F66" i="119" s="1"/>
  <c r="F67" i="119" s="1"/>
  <c r="F68" i="119" s="1"/>
  <c r="F69" i="119" s="1"/>
  <c r="F70" i="119" s="1"/>
  <c r="F71" i="119" s="1"/>
  <c r="F72" i="119" s="1"/>
  <c r="F73" i="119" s="1"/>
  <c r="F74" i="119" s="1"/>
  <c r="F75" i="119" s="1"/>
  <c r="F76" i="119" s="1"/>
  <c r="F77" i="119" s="1"/>
  <c r="F78" i="119" s="1"/>
  <c r="F79" i="119" s="1"/>
  <c r="F80" i="119" s="1"/>
  <c r="F81" i="119" s="1"/>
  <c r="F82" i="119" s="1"/>
  <c r="F83" i="119" s="1"/>
  <c r="F84" i="119" s="1"/>
  <c r="F85" i="119" s="1"/>
  <c r="F86" i="119" s="1"/>
  <c r="C37" i="119"/>
  <c r="C38" i="119" s="1"/>
  <c r="C39" i="119" s="1"/>
  <c r="C40" i="119" s="1"/>
  <c r="C41" i="119" s="1"/>
  <c r="C42" i="119" s="1"/>
  <c r="C43" i="119" s="1"/>
  <c r="C44" i="119" s="1"/>
  <c r="C45" i="119" s="1"/>
  <c r="C46" i="119" s="1"/>
  <c r="C47" i="119" s="1"/>
  <c r="C48" i="119" s="1"/>
  <c r="C49" i="119" s="1"/>
  <c r="C50" i="119" s="1"/>
  <c r="C51" i="119" s="1"/>
  <c r="C52" i="119" s="1"/>
  <c r="C53" i="119" s="1"/>
  <c r="C54" i="119" s="1"/>
  <c r="C55" i="119" s="1"/>
  <c r="C56" i="119" s="1"/>
  <c r="C57" i="119" s="1"/>
  <c r="C58" i="119" s="1"/>
  <c r="C59" i="119" s="1"/>
  <c r="C60" i="119" s="1"/>
  <c r="C61" i="119" s="1"/>
  <c r="C62" i="119" s="1"/>
  <c r="C63" i="119" s="1"/>
  <c r="C64" i="119" s="1"/>
  <c r="C65" i="119" s="1"/>
  <c r="C66" i="119" s="1"/>
  <c r="C67" i="119" s="1"/>
  <c r="C68" i="119" s="1"/>
  <c r="C69" i="119" s="1"/>
  <c r="C70" i="119" s="1"/>
  <c r="C71" i="119" s="1"/>
  <c r="C72" i="119" s="1"/>
  <c r="C73" i="119" s="1"/>
  <c r="C74" i="119" s="1"/>
  <c r="C75" i="119" s="1"/>
  <c r="C76" i="119" s="1"/>
  <c r="C77" i="119" s="1"/>
  <c r="C78" i="119" s="1"/>
  <c r="C79" i="119" s="1"/>
  <c r="C80" i="119" s="1"/>
  <c r="C81" i="119" s="1"/>
  <c r="C82" i="119" s="1"/>
  <c r="C83" i="119" s="1"/>
  <c r="C84" i="119" s="1"/>
  <c r="C85" i="119" s="1"/>
  <c r="C86" i="119" s="1"/>
  <c r="C36" i="119"/>
  <c r="A36" i="119"/>
  <c r="A37" i="119" s="1"/>
  <c r="A38" i="119" s="1"/>
  <c r="A39" i="119" s="1"/>
  <c r="A40" i="119" s="1"/>
  <c r="A41" i="119" s="1"/>
  <c r="A42" i="119" s="1"/>
  <c r="A43" i="119" s="1"/>
  <c r="A44" i="119" s="1"/>
  <c r="A45" i="119" s="1"/>
  <c r="A46" i="119" s="1"/>
  <c r="A47" i="119" s="1"/>
  <c r="A48" i="119" s="1"/>
  <c r="A49" i="119" s="1"/>
  <c r="A50" i="119" s="1"/>
  <c r="A51" i="119" s="1"/>
  <c r="A52" i="119" s="1"/>
  <c r="A53" i="119" s="1"/>
  <c r="A54" i="119" s="1"/>
  <c r="A55" i="119" s="1"/>
  <c r="A56" i="119" s="1"/>
  <c r="A57" i="119" s="1"/>
  <c r="A58" i="119" s="1"/>
  <c r="A59" i="119" s="1"/>
  <c r="A60" i="119" s="1"/>
  <c r="A61" i="119" s="1"/>
  <c r="A62" i="119" s="1"/>
  <c r="A63" i="119" s="1"/>
  <c r="A64" i="119" s="1"/>
  <c r="A65" i="119" s="1"/>
  <c r="A66" i="119" s="1"/>
  <c r="A67" i="119" s="1"/>
  <c r="A68" i="119" s="1"/>
  <c r="A69" i="119" s="1"/>
  <c r="A70" i="119" s="1"/>
  <c r="A71" i="119" s="1"/>
  <c r="A72" i="119" s="1"/>
  <c r="A73" i="119" s="1"/>
  <c r="A74" i="119" s="1"/>
  <c r="A75" i="119" s="1"/>
  <c r="A76" i="119" s="1"/>
  <c r="A77" i="119" s="1"/>
  <c r="A78" i="119" s="1"/>
  <c r="A79" i="119" s="1"/>
  <c r="A80" i="119" s="1"/>
  <c r="A81" i="119" s="1"/>
  <c r="A82" i="119" s="1"/>
  <c r="A83" i="119" s="1"/>
  <c r="A84" i="119" s="1"/>
  <c r="A85" i="119" s="1"/>
  <c r="A86" i="119" s="1"/>
  <c r="F12" i="121" l="1"/>
  <c r="G6" i="120"/>
  <c r="F6" i="120" l="1"/>
  <c r="G3" i="120"/>
  <c r="F3" i="120"/>
  <c r="H3" i="120" l="1"/>
  <c r="H6" i="120"/>
  <c r="F12" i="120" s="1"/>
  <c r="G6" i="118"/>
  <c r="G6" i="119" l="1"/>
  <c r="F6" i="119"/>
  <c r="G3" i="119"/>
  <c r="F3" i="119"/>
  <c r="H3" i="119" l="1"/>
  <c r="H6" i="119"/>
  <c r="F12" i="119" l="1"/>
  <c r="F6" i="118"/>
  <c r="G3" i="118"/>
  <c r="F3" i="118"/>
  <c r="H3" i="118" l="1"/>
  <c r="H6" i="118"/>
  <c r="G6" i="117"/>
  <c r="F12" i="118" l="1"/>
  <c r="G3" i="117"/>
  <c r="F6" i="117" l="1"/>
  <c r="F3" i="117"/>
  <c r="H6" i="117" l="1"/>
  <c r="H3" i="117"/>
  <c r="G3" i="116"/>
  <c r="F12" i="117" l="1"/>
  <c r="G6" i="116"/>
  <c r="F6" i="116"/>
  <c r="F3" i="116"/>
  <c r="H3" i="116" l="1"/>
  <c r="H6" i="116"/>
  <c r="G6" i="115"/>
  <c r="F12" i="116" l="1"/>
  <c r="F6" i="115"/>
  <c r="G3" i="115"/>
  <c r="F3" i="115"/>
  <c r="H6" i="115" l="1"/>
  <c r="H3" i="115"/>
  <c r="G6" i="114"/>
  <c r="G3" i="114"/>
  <c r="F12" i="115" l="1"/>
  <c r="F6" i="114"/>
  <c r="F3" i="114"/>
  <c r="H6" i="114" l="1"/>
  <c r="H3" i="114"/>
  <c r="F12" i="114" l="1"/>
  <c r="G6" i="112"/>
  <c r="G3" i="112"/>
  <c r="F6" i="112" l="1"/>
  <c r="F3" i="112"/>
  <c r="H3" i="112" l="1"/>
  <c r="H6" i="112"/>
  <c r="G6" i="111"/>
  <c r="F12" i="112" l="1"/>
  <c r="F6" i="111"/>
  <c r="G3" i="111"/>
  <c r="H3" i="111" s="1"/>
  <c r="F3" i="111"/>
  <c r="H6" i="111" l="1"/>
  <c r="F12" i="111" s="1"/>
  <c r="G6" i="110"/>
  <c r="F6" i="110"/>
  <c r="G3" i="110"/>
  <c r="F3" i="110"/>
  <c r="H3" i="110" l="1"/>
  <c r="H6" i="110"/>
  <c r="G6" i="109"/>
  <c r="H6" i="109" s="1"/>
  <c r="F6" i="109"/>
  <c r="G3" i="109"/>
  <c r="F3" i="109"/>
  <c r="H3" i="109" s="1"/>
  <c r="F12" i="110" l="1"/>
  <c r="F12" i="109"/>
  <c r="G6" i="108"/>
  <c r="F6" i="108"/>
  <c r="G3" i="108"/>
  <c r="F3" i="108"/>
  <c r="H6" i="108" l="1"/>
  <c r="H3" i="108"/>
  <c r="G6" i="107"/>
  <c r="F6" i="107"/>
  <c r="G3" i="107"/>
  <c r="F3" i="107"/>
  <c r="F12" i="108" l="1"/>
  <c r="H3" i="107"/>
  <c r="H6" i="107"/>
  <c r="G6" i="106"/>
  <c r="F12" i="107" l="1"/>
  <c r="G3" i="106"/>
  <c r="F6" i="106" l="1"/>
  <c r="F3" i="106"/>
  <c r="H3" i="106" l="1"/>
  <c r="H6" i="106"/>
  <c r="G6" i="105"/>
  <c r="F6" i="105"/>
  <c r="G3" i="105"/>
  <c r="F3" i="105"/>
  <c r="H3" i="105" l="1"/>
  <c r="F12" i="105" s="1"/>
  <c r="F12" i="106"/>
  <c r="H6" i="105"/>
  <c r="G6" i="104"/>
  <c r="G3" i="104"/>
  <c r="F6" i="104" l="1"/>
  <c r="F3" i="104"/>
  <c r="H3" i="104" l="1"/>
  <c r="H6" i="104"/>
  <c r="G11" i="103"/>
  <c r="G8" i="103"/>
  <c r="B70" i="103"/>
  <c r="F11" i="103"/>
  <c r="F8" i="103"/>
  <c r="F12" i="104" l="1"/>
  <c r="H8" i="103"/>
  <c r="H11" i="103"/>
  <c r="G8" i="102"/>
  <c r="B70" i="102"/>
  <c r="G11" i="102"/>
  <c r="F11" i="102"/>
  <c r="F8" i="102"/>
  <c r="F36" i="103" l="1"/>
  <c r="H8" i="102"/>
  <c r="H11" i="102"/>
  <c r="B71" i="101"/>
  <c r="G11" i="101"/>
  <c r="F11" i="101"/>
  <c r="G8" i="101"/>
  <c r="F8" i="101"/>
  <c r="H8" i="101" l="1"/>
  <c r="F36" i="102"/>
  <c r="H11" i="101"/>
  <c r="F36" i="101" s="1"/>
  <c r="B71" i="100"/>
  <c r="G11" i="100"/>
  <c r="F11" i="100"/>
  <c r="G8" i="100"/>
  <c r="F8" i="100"/>
  <c r="H11" i="100" l="1"/>
  <c r="H8" i="100"/>
  <c r="F36" i="100" s="1"/>
  <c r="B71" i="99"/>
  <c r="G11" i="99" l="1"/>
  <c r="F11" i="99"/>
  <c r="G8" i="99"/>
  <c r="F8" i="99"/>
  <c r="H8" i="99" l="1"/>
  <c r="H11" i="99"/>
  <c r="G11" i="98"/>
  <c r="F11" i="98"/>
  <c r="G8" i="98"/>
  <c r="F8" i="98"/>
  <c r="F36" i="99" l="1"/>
  <c r="H11" i="98"/>
  <c r="H8" i="98"/>
  <c r="G11" i="97"/>
  <c r="G8" i="97"/>
  <c r="F36" i="98" l="1"/>
  <c r="F11" i="97"/>
  <c r="H11" i="97" s="1"/>
  <c r="F8" i="97"/>
  <c r="H8" i="97" s="1"/>
  <c r="F36" i="97" s="1"/>
  <c r="G11" i="96" l="1"/>
  <c r="F11" i="96"/>
  <c r="G8" i="96"/>
  <c r="F8" i="96"/>
  <c r="H8" i="96" l="1"/>
  <c r="H11" i="96"/>
  <c r="F34" i="96" s="1"/>
  <c r="G11" i="95"/>
  <c r="F11" i="95"/>
  <c r="G8" i="95"/>
  <c r="F8" i="95"/>
  <c r="H8" i="95" l="1"/>
  <c r="H11" i="95"/>
  <c r="G8" i="94"/>
  <c r="G11" i="94"/>
  <c r="F11" i="94"/>
  <c r="F8" i="94"/>
  <c r="F34" i="95" l="1"/>
  <c r="H11" i="94"/>
  <c r="H8" i="94"/>
  <c r="G11" i="93"/>
  <c r="F34" i="94" l="1"/>
  <c r="G8" i="93"/>
  <c r="F11" i="93"/>
  <c r="F8" i="93"/>
  <c r="H11" i="93" l="1"/>
  <c r="H8" i="93"/>
  <c r="G12" i="92"/>
  <c r="G8" i="92"/>
  <c r="F34" i="93" l="1"/>
  <c r="G12" i="91"/>
  <c r="G8" i="91"/>
  <c r="F12" i="92" l="1"/>
  <c r="F8" i="92"/>
  <c r="H12" i="92" l="1"/>
  <c r="H8" i="92"/>
  <c r="F12" i="91"/>
  <c r="F8" i="91"/>
  <c r="H8" i="91" s="1"/>
  <c r="F34" i="92" l="1"/>
  <c r="H12" i="91"/>
  <c r="F34" i="91" s="1"/>
  <c r="G8" i="90"/>
  <c r="G12" i="90"/>
  <c r="F12" i="90"/>
  <c r="F8" i="90"/>
  <c r="H12" i="90" l="1"/>
  <c r="H8" i="90"/>
  <c r="G12" i="89"/>
  <c r="F12" i="89"/>
  <c r="G8" i="89"/>
  <c r="F8" i="89"/>
  <c r="H8" i="89" l="1"/>
  <c r="F34" i="89" s="1"/>
  <c r="H12" i="89"/>
  <c r="F33" i="90"/>
  <c r="G12" i="88"/>
  <c r="F12" i="88"/>
  <c r="G8" i="88"/>
  <c r="F8" i="88"/>
  <c r="H8" i="88" l="1"/>
  <c r="F34" i="88" s="1"/>
  <c r="H12" i="88"/>
  <c r="G12" i="87"/>
  <c r="F12" i="87"/>
  <c r="G8" i="87"/>
  <c r="F8" i="87"/>
  <c r="H12" i="87" l="1"/>
  <c r="H8" i="87"/>
  <c r="G8" i="85"/>
  <c r="F34" i="87" l="1"/>
  <c r="G12" i="85"/>
  <c r="F12" i="85"/>
  <c r="F8" i="85"/>
  <c r="H8" i="85" s="1"/>
  <c r="H12" i="85" l="1"/>
  <c r="F34" i="85" s="1"/>
  <c r="G8" i="84"/>
  <c r="G11" i="84"/>
  <c r="F11" i="84" l="1"/>
  <c r="F8" i="84"/>
  <c r="H8" i="84" s="1"/>
  <c r="H11" i="84" l="1"/>
  <c r="F33" i="84"/>
  <c r="G11" i="82"/>
  <c r="G11" i="83"/>
  <c r="G8" i="83"/>
  <c r="F11" i="83" l="1"/>
  <c r="F8" i="83"/>
  <c r="H11" i="83" l="1"/>
  <c r="H8" i="83"/>
  <c r="F11" i="82"/>
  <c r="G8" i="82"/>
  <c r="F8" i="82"/>
  <c r="H8" i="82" l="1"/>
  <c r="H11" i="82"/>
  <c r="F33" i="82" s="1"/>
  <c r="F33" i="83"/>
  <c r="G11" i="81"/>
  <c r="F11" i="81"/>
  <c r="G8" i="81"/>
  <c r="F8" i="81"/>
  <c r="H11" i="81" l="1"/>
  <c r="H8" i="81"/>
  <c r="G11" i="80"/>
  <c r="F11" i="80"/>
  <c r="G8" i="80"/>
  <c r="F8" i="80"/>
  <c r="F33" i="81" l="1"/>
  <c r="H8" i="80"/>
  <c r="H11" i="80"/>
  <c r="G11" i="79"/>
  <c r="F11" i="79"/>
  <c r="G8" i="79"/>
  <c r="F8" i="79"/>
  <c r="F33" i="80" l="1"/>
  <c r="H11" i="79"/>
  <c r="H8" i="79"/>
  <c r="F33" i="79" s="1"/>
  <c r="G11" i="78"/>
  <c r="G8" i="78"/>
  <c r="F11" i="78" l="1"/>
  <c r="F8" i="78"/>
  <c r="H11" i="78" l="1"/>
  <c r="H8" i="78"/>
  <c r="G11" i="77"/>
  <c r="F11" i="77"/>
  <c r="G8" i="77"/>
  <c r="F8" i="77"/>
  <c r="F33" i="78" l="1"/>
  <c r="H8" i="77"/>
  <c r="H11" i="77"/>
  <c r="G11" i="76"/>
  <c r="F11" i="76"/>
  <c r="G8" i="76"/>
  <c r="F8" i="76"/>
  <c r="H8" i="76" l="1"/>
  <c r="F33" i="77"/>
  <c r="H11" i="76"/>
  <c r="F33" i="76"/>
  <c r="G11" i="75"/>
  <c r="H11" i="75" s="1"/>
  <c r="F11" i="75"/>
  <c r="G8" i="75"/>
  <c r="F8" i="75"/>
  <c r="H8" i="75" l="1"/>
  <c r="F33" i="75"/>
  <c r="G11" i="74"/>
  <c r="F11" i="74"/>
  <c r="G8" i="74"/>
  <c r="F8" i="74"/>
  <c r="H8" i="74" l="1"/>
  <c r="F33" i="74" s="1"/>
  <c r="H11" i="74"/>
  <c r="G8" i="73"/>
  <c r="G11" i="73"/>
  <c r="F11" i="73" l="1"/>
  <c r="F8" i="73"/>
  <c r="H8" i="73" l="1"/>
  <c r="H11" i="73"/>
  <c r="G11" i="72"/>
  <c r="F11" i="72"/>
  <c r="G8" i="72"/>
  <c r="F8" i="72"/>
  <c r="F33" i="73" l="1"/>
  <c r="H8" i="72"/>
  <c r="H11" i="72"/>
  <c r="G11" i="71"/>
  <c r="G8" i="71"/>
  <c r="F31" i="72" l="1"/>
  <c r="F11" i="71"/>
  <c r="F8" i="71"/>
  <c r="H8" i="71" s="1"/>
  <c r="H11" i="71" l="1"/>
  <c r="F31" i="71"/>
  <c r="G11" i="70"/>
  <c r="F11" i="70"/>
  <c r="G8" i="70"/>
  <c r="F8" i="70"/>
  <c r="G11" i="69"/>
  <c r="G8" i="69"/>
  <c r="H8" i="70" l="1"/>
  <c r="H11" i="70"/>
  <c r="F11" i="69"/>
  <c r="F8" i="69"/>
  <c r="F28" i="70" l="1"/>
  <c r="H8" i="69"/>
  <c r="H11" i="69"/>
  <c r="G8" i="68"/>
  <c r="G11" i="68"/>
  <c r="F29" i="69" l="1"/>
  <c r="F11" i="68"/>
  <c r="F8" i="68"/>
  <c r="H8" i="68" s="1"/>
  <c r="H11" i="68" l="1"/>
  <c r="F28" i="68" s="1"/>
  <c r="H28" i="68" s="1"/>
  <c r="G11" i="67"/>
  <c r="G8" i="67"/>
  <c r="F11" i="67"/>
  <c r="F8" i="67"/>
  <c r="H11" i="67" l="1"/>
  <c r="H8" i="67"/>
  <c r="G11" i="66"/>
  <c r="F11" i="66"/>
  <c r="G8" i="66"/>
  <c r="F8" i="66"/>
  <c r="H8" i="66" s="1"/>
  <c r="F26" i="67" l="1"/>
  <c r="H26" i="67" s="1"/>
  <c r="H11" i="66"/>
  <c r="F26" i="66" s="1"/>
  <c r="H26" i="66" s="1"/>
  <c r="G11" i="65"/>
  <c r="F11" i="65"/>
  <c r="G8" i="65"/>
  <c r="F8" i="65"/>
  <c r="H8" i="65" s="1"/>
  <c r="H11" i="65" l="1"/>
  <c r="F26" i="65" s="1"/>
  <c r="H26" i="65" s="1"/>
  <c r="G11" i="64"/>
  <c r="F11" i="64"/>
  <c r="G8" i="64"/>
  <c r="F8" i="64"/>
  <c r="H8" i="64" l="1"/>
  <c r="H11" i="64"/>
  <c r="G11" i="63"/>
  <c r="F11" i="63"/>
  <c r="G8" i="63"/>
  <c r="F8" i="63"/>
  <c r="H8" i="63" s="1"/>
  <c r="F26" i="64" l="1"/>
  <c r="H26" i="64" s="1"/>
  <c r="H11" i="63"/>
  <c r="F26" i="63" s="1"/>
  <c r="H26" i="63" s="1"/>
  <c r="G11" i="62"/>
  <c r="F11" i="62"/>
  <c r="G8" i="62"/>
  <c r="F8" i="62"/>
  <c r="H8" i="62" s="1"/>
  <c r="H11" i="62" l="1"/>
  <c r="F26" i="62" s="1"/>
  <c r="H26" i="62" s="1"/>
  <c r="G8" i="61"/>
  <c r="G11" i="61" l="1"/>
  <c r="F11" i="61"/>
  <c r="F8" i="61"/>
  <c r="H11" i="61" l="1"/>
  <c r="H8" i="61"/>
  <c r="F26" i="61" s="1"/>
  <c r="H26" i="61" s="1"/>
  <c r="G11" i="60"/>
  <c r="G8" i="60"/>
  <c r="F11" i="60"/>
  <c r="F8" i="60"/>
  <c r="G11" i="59"/>
  <c r="G8" i="59"/>
  <c r="F11" i="59"/>
  <c r="F8" i="59"/>
  <c r="G11" i="58"/>
  <c r="G8" i="58"/>
  <c r="G11" i="57"/>
  <c r="G8" i="57"/>
  <c r="F11" i="58"/>
  <c r="H11" i="58" s="1"/>
  <c r="F8" i="58"/>
  <c r="H8" i="58" s="1"/>
  <c r="F25" i="58" s="1"/>
  <c r="H25" i="58" s="1"/>
  <c r="F11" i="57"/>
  <c r="F8" i="57"/>
  <c r="G11" i="56"/>
  <c r="F11" i="56"/>
  <c r="G8" i="56"/>
  <c r="F8" i="56"/>
  <c r="H8" i="56" s="1"/>
  <c r="H11" i="56"/>
  <c r="G11" i="55"/>
  <c r="G8" i="55"/>
  <c r="F11" i="55"/>
  <c r="F8" i="55"/>
  <c r="H8" i="55"/>
  <c r="H11" i="55"/>
  <c r="G8" i="54"/>
  <c r="H23" i="55"/>
  <c r="G11" i="54"/>
  <c r="F11" i="54"/>
  <c r="F8" i="54"/>
  <c r="H11" i="54"/>
  <c r="H8" i="54"/>
  <c r="H22" i="54" s="1"/>
  <c r="G11" i="53"/>
  <c r="F11" i="53"/>
  <c r="H11" i="53" s="1"/>
  <c r="G8" i="53"/>
  <c r="F8" i="53"/>
  <c r="H8" i="53" s="1"/>
  <c r="H20" i="53" s="1"/>
  <c r="G8" i="50"/>
  <c r="G8" i="52"/>
  <c r="H8" i="52" s="1"/>
  <c r="G11" i="52"/>
  <c r="F11" i="52"/>
  <c r="H11" i="52" s="1"/>
  <c r="F8" i="52"/>
  <c r="G11" i="50"/>
  <c r="F11" i="50"/>
  <c r="H11" i="50" s="1"/>
  <c r="F8" i="50"/>
  <c r="G11" i="49"/>
  <c r="F11" i="49"/>
  <c r="H11" i="49" s="1"/>
  <c r="G8" i="49"/>
  <c r="F8" i="49"/>
  <c r="H8" i="49" s="1"/>
  <c r="F8" i="48"/>
  <c r="H8" i="48" s="1"/>
  <c r="F19" i="48" s="1"/>
  <c r="H19" i="48" s="1"/>
  <c r="H11" i="48"/>
  <c r="F22" i="48" s="1"/>
  <c r="H22" i="48" s="1"/>
  <c r="H11" i="47"/>
  <c r="F22" i="47" s="1"/>
  <c r="H22" i="47" s="1"/>
  <c r="H8" i="47"/>
  <c r="F19" i="47"/>
  <c r="H19" i="47" s="1"/>
  <c r="H26" i="47" s="1"/>
  <c r="H11" i="46"/>
  <c r="F22" i="46"/>
  <c r="H22" i="46"/>
  <c r="H8" i="46"/>
  <c r="F19" i="46" s="1"/>
  <c r="H19" i="46" s="1"/>
  <c r="H26" i="46" s="1"/>
  <c r="H11" i="45"/>
  <c r="F22" i="45" s="1"/>
  <c r="H22" i="45" s="1"/>
  <c r="H8" i="45"/>
  <c r="F19" i="45"/>
  <c r="H19" i="45" s="1"/>
  <c r="H26" i="45" s="1"/>
  <c r="F9" i="23"/>
  <c r="D9" i="23"/>
  <c r="F9" i="22"/>
  <c r="D9" i="22"/>
  <c r="F9" i="21"/>
  <c r="D9" i="21"/>
  <c r="F9" i="20"/>
  <c r="D9" i="20"/>
  <c r="F9" i="19"/>
  <c r="D9" i="19"/>
  <c r="F9" i="18"/>
  <c r="D9" i="18"/>
  <c r="F9" i="17"/>
  <c r="D9" i="17"/>
  <c r="F9" i="16"/>
  <c r="D9" i="16"/>
  <c r="F9" i="15"/>
  <c r="D9" i="15"/>
  <c r="F9" i="14"/>
  <c r="D9" i="14"/>
  <c r="C37" i="13"/>
  <c r="F9" i="13"/>
  <c r="C38" i="13" s="1"/>
  <c r="D9" i="13"/>
  <c r="C35" i="12"/>
  <c r="F9" i="12"/>
  <c r="C36" i="12" s="1"/>
  <c r="D9" i="12"/>
  <c r="C32" i="11"/>
  <c r="F9" i="11"/>
  <c r="D9" i="11"/>
  <c r="C32" i="10"/>
  <c r="F9" i="10"/>
  <c r="D9" i="10"/>
  <c r="C32" i="9"/>
  <c r="F9" i="9"/>
  <c r="C33" i="9" s="1"/>
  <c r="D9" i="9"/>
  <c r="C32" i="8"/>
  <c r="F9" i="8"/>
  <c r="D9" i="8"/>
  <c r="C33" i="8" s="1"/>
  <c r="C35" i="8" s="1"/>
  <c r="C33" i="7"/>
  <c r="F9" i="7"/>
  <c r="C34" i="7" s="1"/>
  <c r="C36" i="7" s="1"/>
  <c r="D9" i="7"/>
  <c r="C33" i="6"/>
  <c r="F9" i="6"/>
  <c r="C34" i="6" s="1"/>
  <c r="D9" i="6"/>
  <c r="C31" i="5"/>
  <c r="F9" i="5"/>
  <c r="D9" i="5"/>
  <c r="C32" i="5"/>
  <c r="C31" i="4"/>
  <c r="F9" i="4"/>
  <c r="D9" i="4"/>
  <c r="C32" i="4"/>
  <c r="C34" i="4"/>
  <c r="C31" i="1"/>
  <c r="D9" i="1"/>
  <c r="F9" i="1"/>
  <c r="C32" i="1" s="1"/>
  <c r="C34" i="1" s="1"/>
  <c r="H8" i="59" l="1"/>
  <c r="H11" i="57"/>
  <c r="H8" i="57"/>
  <c r="H24" i="57" s="1"/>
  <c r="H23" i="56"/>
  <c r="H20" i="52"/>
  <c r="H8" i="50"/>
  <c r="H20" i="50" s="1"/>
  <c r="H26" i="48"/>
  <c r="C40" i="13"/>
  <c r="C38" i="12"/>
  <c r="C33" i="10"/>
  <c r="C35" i="10" s="1"/>
  <c r="C35" i="9"/>
  <c r="C36" i="6"/>
  <c r="C33" i="11"/>
  <c r="C35" i="11" s="1"/>
  <c r="C34" i="5"/>
  <c r="H20" i="49"/>
  <c r="H11" i="59"/>
  <c r="F26" i="59" s="1"/>
  <c r="H26" i="59" s="1"/>
  <c r="H11" i="60"/>
  <c r="H8" i="60"/>
  <c r="F26" i="60" s="1"/>
  <c r="H26" i="60" s="1"/>
</calcChain>
</file>

<file path=xl/sharedStrings.xml><?xml version="1.0" encoding="utf-8"?>
<sst xmlns="http://schemas.openxmlformats.org/spreadsheetml/2006/main" count="7901" uniqueCount="723">
  <si>
    <t>Conway Corp</t>
  </si>
  <si>
    <t>Expenses:</t>
  </si>
  <si>
    <t>Projected Expense Cost:</t>
  </si>
  <si>
    <t>Actually Expense Cost:</t>
  </si>
  <si>
    <t>Mortgage</t>
  </si>
  <si>
    <t>Total Expense:</t>
  </si>
  <si>
    <t>Allstate Payment</t>
  </si>
  <si>
    <t>Ed Financial Payments</t>
  </si>
  <si>
    <t>Citi Card Payment</t>
  </si>
  <si>
    <t>Arkansas Dem-Gaz Subscription</t>
  </si>
  <si>
    <t>Free Credit Report.com</t>
  </si>
  <si>
    <t>Arkla Energy Payment</t>
  </si>
  <si>
    <t>1st half of month:</t>
  </si>
  <si>
    <t>2nd half of month:</t>
  </si>
  <si>
    <t>Honda Payment</t>
  </si>
  <si>
    <t>At&amp;t Payment</t>
  </si>
  <si>
    <t>AES Student Loan Payment</t>
  </si>
  <si>
    <t>Student Loan Payment</t>
  </si>
  <si>
    <t>Blizzard Payment</t>
  </si>
  <si>
    <t>Sallie Mae Payment</t>
  </si>
  <si>
    <t>Total Income for April:</t>
  </si>
  <si>
    <t>April 2011 Monthly Budget</t>
  </si>
  <si>
    <t>April Income:</t>
  </si>
  <si>
    <t>Fun Account Total:</t>
  </si>
  <si>
    <t>Bill Total:</t>
  </si>
  <si>
    <t>Total Extra income for April:</t>
  </si>
  <si>
    <t>May 6th</t>
  </si>
  <si>
    <t>May 13th</t>
  </si>
  <si>
    <t>May 20th</t>
  </si>
  <si>
    <t>May 27th</t>
  </si>
  <si>
    <t>May 2011 Monthly Budget</t>
  </si>
  <si>
    <t>May Income:</t>
  </si>
  <si>
    <t>Total Income for May:</t>
  </si>
  <si>
    <t>Total Extra income for May:</t>
  </si>
  <si>
    <t>Toyota Payment</t>
  </si>
  <si>
    <t>June Income:</t>
  </si>
  <si>
    <t>Total Income for June:</t>
  </si>
  <si>
    <t>Total Extra income for June:</t>
  </si>
  <si>
    <t>June 3th</t>
  </si>
  <si>
    <t>June 10th</t>
  </si>
  <si>
    <t>June 17th</t>
  </si>
  <si>
    <t>June 24th</t>
  </si>
  <si>
    <t>June 2011 Monthly Budget</t>
  </si>
  <si>
    <t>July 2011 Monthly Budget</t>
  </si>
  <si>
    <t>July Income:</t>
  </si>
  <si>
    <t>Total Income for July:</t>
  </si>
  <si>
    <t>Total Extra income for July:</t>
  </si>
  <si>
    <t>July 1st</t>
  </si>
  <si>
    <t>July 8th</t>
  </si>
  <si>
    <t>July 15th</t>
  </si>
  <si>
    <t>July 22nd</t>
  </si>
  <si>
    <t>Credit Card debt (Brian)</t>
  </si>
  <si>
    <t>Lauren Citi Debt</t>
  </si>
  <si>
    <t>Brian Credit Card Payment (10th &amp; 18th)</t>
  </si>
  <si>
    <t>Computer Payment (20th)</t>
  </si>
  <si>
    <t>August 2011 Monthly Budget</t>
  </si>
  <si>
    <t>August Income:</t>
  </si>
  <si>
    <t>Total Income for August:</t>
  </si>
  <si>
    <t>Total Extra income for August:</t>
  </si>
  <si>
    <t>Mortgage (Online)</t>
  </si>
  <si>
    <t>Allstate Payment (automatic)</t>
  </si>
  <si>
    <t>Ed Financial Payments (online)</t>
  </si>
  <si>
    <t>Citi Card Payment (automatic)</t>
  </si>
  <si>
    <t>Arkansas Dem-Gaz Subscription (automatic)</t>
  </si>
  <si>
    <t>Free Credit Report.com (automatic)</t>
  </si>
  <si>
    <t>Brian Credit Card Payment (online)</t>
  </si>
  <si>
    <t>Arkla Energy Payment (automatic)</t>
  </si>
  <si>
    <t xml:space="preserve">July 29th </t>
  </si>
  <si>
    <t>August 5th</t>
  </si>
  <si>
    <t>August 12th</t>
  </si>
  <si>
    <t>August 19th</t>
  </si>
  <si>
    <t>August 26nd</t>
  </si>
  <si>
    <t>Toyota Payment (online)</t>
  </si>
  <si>
    <t>AES Student Loan Payment (online)</t>
  </si>
  <si>
    <t>Computer Payment (20th) (online)</t>
  </si>
  <si>
    <t>Student Loan Payment (automatic)</t>
  </si>
  <si>
    <t>Blizzard Payment (automatic)</t>
  </si>
  <si>
    <t>Conway Corp (mail in check)</t>
  </si>
  <si>
    <t>Sallie Mae Payment (automatic)</t>
  </si>
  <si>
    <t>At&amp;t Payment (automatic)</t>
  </si>
  <si>
    <t>September 2011 Monthly Budget</t>
  </si>
  <si>
    <t>September Income:</t>
  </si>
  <si>
    <t>Total Income for September:</t>
  </si>
  <si>
    <t>Total Extra income for September:</t>
  </si>
  <si>
    <t>September 2nd</t>
  </si>
  <si>
    <t>September 9th</t>
  </si>
  <si>
    <t>September 16th</t>
  </si>
  <si>
    <t>September 23rd</t>
  </si>
  <si>
    <t>September 30th</t>
  </si>
  <si>
    <t>October 2011 Monthly Budget</t>
  </si>
  <si>
    <t>October Income:</t>
  </si>
  <si>
    <t>Total Income for October:</t>
  </si>
  <si>
    <t>Total Extra income for October:</t>
  </si>
  <si>
    <t>October 7th</t>
  </si>
  <si>
    <t>October 14th</t>
  </si>
  <si>
    <t>October 21st</t>
  </si>
  <si>
    <t>October 28th</t>
  </si>
  <si>
    <t>November 2011 Monthly Budget</t>
  </si>
  <si>
    <t>November Income:</t>
  </si>
  <si>
    <t>Total Income for November:</t>
  </si>
  <si>
    <t>Total Extra income for November:</t>
  </si>
  <si>
    <t>November 4th</t>
  </si>
  <si>
    <t>November 11th</t>
  </si>
  <si>
    <t>November 18th</t>
  </si>
  <si>
    <t>November 25th</t>
  </si>
  <si>
    <t>December 2011 Monthly Budget</t>
  </si>
  <si>
    <t>December Income:</t>
  </si>
  <si>
    <t>Total Income for December:</t>
  </si>
  <si>
    <t>Total Extra income for December:</t>
  </si>
  <si>
    <t>December 2nd</t>
  </si>
  <si>
    <t>December 9th</t>
  </si>
  <si>
    <t>December 16th</t>
  </si>
  <si>
    <t>December 23rd</t>
  </si>
  <si>
    <t>December 30th</t>
  </si>
  <si>
    <t>January Income:</t>
  </si>
  <si>
    <t>Total Income for January:</t>
  </si>
  <si>
    <t>Total Extra income for January:</t>
  </si>
  <si>
    <t>January 2012 Monthly Budget</t>
  </si>
  <si>
    <t>Imac Payment</t>
  </si>
  <si>
    <t>Amazon Payment</t>
  </si>
  <si>
    <t>first Premire credit card payment</t>
  </si>
  <si>
    <t>January 6th</t>
  </si>
  <si>
    <t>January 13th</t>
  </si>
  <si>
    <t>January 20th</t>
  </si>
  <si>
    <t xml:space="preserve">January 27th </t>
  </si>
  <si>
    <t>Health care bills</t>
  </si>
  <si>
    <t>lauren car = 34,000 miles</t>
  </si>
  <si>
    <t>February 2012 Monthly Budget</t>
  </si>
  <si>
    <t>February Income:</t>
  </si>
  <si>
    <t>Total Income for February:</t>
  </si>
  <si>
    <t>Total Extra income for February:</t>
  </si>
  <si>
    <t>January 27th</t>
  </si>
  <si>
    <t>February 3rd</t>
  </si>
  <si>
    <t>February 10th</t>
  </si>
  <si>
    <t>February 17th</t>
  </si>
  <si>
    <t>reward zone credit card</t>
  </si>
  <si>
    <t>Home Depot payment</t>
  </si>
  <si>
    <t>Could be bill total for the month</t>
  </si>
  <si>
    <t>Current Bill total for the month</t>
  </si>
  <si>
    <t xml:space="preserve"> =</t>
  </si>
  <si>
    <t>March 2012 Monthly Budget</t>
  </si>
  <si>
    <t>March Income:</t>
  </si>
  <si>
    <t xml:space="preserve">March 2nd </t>
  </si>
  <si>
    <t>March 9th</t>
  </si>
  <si>
    <t>March 16th</t>
  </si>
  <si>
    <t>March 23rd</t>
  </si>
  <si>
    <t>Amazon Credit Card</t>
  </si>
  <si>
    <t>Home Depot</t>
  </si>
  <si>
    <t>Best buy credit card (mastercard)</t>
  </si>
  <si>
    <t>amazon = 631.27</t>
  </si>
  <si>
    <t>April 2012 Monthly Budget</t>
  </si>
  <si>
    <t>April 6th</t>
  </si>
  <si>
    <t>April 13th</t>
  </si>
  <si>
    <t>April 20th</t>
  </si>
  <si>
    <t>April 27th</t>
  </si>
  <si>
    <t>May 2012 Monthly Budget</t>
  </si>
  <si>
    <t>May 4th</t>
  </si>
  <si>
    <t>May 11th</t>
  </si>
  <si>
    <t>May 18th</t>
  </si>
  <si>
    <t>May 25th</t>
  </si>
  <si>
    <t>=</t>
  </si>
  <si>
    <t>20 months</t>
  </si>
  <si>
    <t>30531.97 (car)</t>
  </si>
  <si>
    <t>26794.09(Lauren Student loans)</t>
  </si>
  <si>
    <t>13 months</t>
  </si>
  <si>
    <t>73738.88(Brian Student loans)</t>
  </si>
  <si>
    <t>27 months</t>
  </si>
  <si>
    <t>June 2012 Monthly Budget</t>
  </si>
  <si>
    <t>June 1st</t>
  </si>
  <si>
    <t>June 15th</t>
  </si>
  <si>
    <t>June 29th</t>
  </si>
  <si>
    <t>Citi Card payment</t>
  </si>
  <si>
    <t>July 2012 Monthly Budget</t>
  </si>
  <si>
    <t>July 13th</t>
  </si>
  <si>
    <t>July 27th</t>
  </si>
  <si>
    <t>Lauren's Student loans (online)</t>
  </si>
  <si>
    <t>August 2012 Monthly Budget</t>
  </si>
  <si>
    <t>August 10th</t>
  </si>
  <si>
    <t>August 24th</t>
  </si>
  <si>
    <t>September 2012 Monthly Budget</t>
  </si>
  <si>
    <t>September 7th</t>
  </si>
  <si>
    <t>September 21st</t>
  </si>
  <si>
    <t>Evan Daycare #1</t>
  </si>
  <si>
    <t>Evan Daycare #2</t>
  </si>
  <si>
    <t>Evan Daycare #3</t>
  </si>
  <si>
    <t>Evan Daycare #4</t>
  </si>
  <si>
    <t>October 2012 Monthly Budget</t>
  </si>
  <si>
    <t>October 5th</t>
  </si>
  <si>
    <t>October 19th</t>
  </si>
  <si>
    <t>Barclaycard Payment</t>
  </si>
  <si>
    <t xml:space="preserve">Brian Student Loan Amounts: </t>
  </si>
  <si>
    <t>Conway Regional Payment</t>
  </si>
  <si>
    <t>November 2012 Monthly Budget</t>
  </si>
  <si>
    <t>November 1st</t>
  </si>
  <si>
    <t>November 15th</t>
  </si>
  <si>
    <t>November 29th</t>
  </si>
  <si>
    <t>Home Depot Payment</t>
  </si>
  <si>
    <t>December 2012 Monthly Budget</t>
  </si>
  <si>
    <t>December 1st</t>
  </si>
  <si>
    <t>December 15th</t>
  </si>
  <si>
    <t>December 29th</t>
  </si>
  <si>
    <t>Conway Corp (pay through app)</t>
  </si>
  <si>
    <t>Arkansas Children's Hospital(call them)</t>
  </si>
  <si>
    <t>Amazon Credit Card payment(online)</t>
  </si>
  <si>
    <t>Sacred Heart Health Hospital</t>
  </si>
  <si>
    <t>Sacred heart</t>
  </si>
  <si>
    <t>Amazon</t>
  </si>
  <si>
    <t>Barclay</t>
  </si>
  <si>
    <t>Children's hospital</t>
  </si>
  <si>
    <t>Conway Regional payment</t>
  </si>
  <si>
    <t>Edfinancial Loan (online)</t>
  </si>
  <si>
    <t>NelNet loan (online)</t>
  </si>
  <si>
    <t>February 2013 Monthly Budget</t>
  </si>
  <si>
    <t>Termite Renewal Fee</t>
  </si>
  <si>
    <t>Arkansas Children's Hospital(online)</t>
  </si>
  <si>
    <t>March 2013 Monthly Budget</t>
  </si>
  <si>
    <t>10 Fitness payment(automatic)</t>
  </si>
  <si>
    <t>Conway Corp (lauren pays this)</t>
  </si>
  <si>
    <t>April 2013 Monthly Budget</t>
  </si>
  <si>
    <t>May 2013 Monthly Budget</t>
  </si>
  <si>
    <t>Storage unit payment</t>
  </si>
  <si>
    <t>Kristal Payment</t>
  </si>
  <si>
    <t>PayOff Amazon</t>
  </si>
  <si>
    <t>June 2013 Monthly Budget</t>
  </si>
  <si>
    <t>New House Payment #1</t>
  </si>
  <si>
    <t>New House Payment #2</t>
  </si>
  <si>
    <t>New Daycare deposit</t>
  </si>
  <si>
    <t>Barclay Card payment</t>
  </si>
  <si>
    <t>Brian loans = 70343.36</t>
  </si>
  <si>
    <t>Lauren loans = 24784.35</t>
  </si>
  <si>
    <t>June 28th = 1st part of july</t>
  </si>
  <si>
    <t>July 12th = 2nd part of july</t>
  </si>
  <si>
    <t>July 26th = 1st part of august</t>
  </si>
  <si>
    <t>August 23rd = 1st part of september</t>
  </si>
  <si>
    <t>September 6th = 2nd part of september</t>
  </si>
  <si>
    <t>September 20th = 1st part of October</t>
  </si>
  <si>
    <t>October 4th = 2nd part of October</t>
  </si>
  <si>
    <t>October 18th = 1st part of November</t>
  </si>
  <si>
    <t>November 1st = 2nd part of November</t>
  </si>
  <si>
    <t>November 15th = 1st part of December</t>
  </si>
  <si>
    <t>November 29th = 2nd part of December</t>
  </si>
  <si>
    <t>December 13th = 1st part of January</t>
  </si>
  <si>
    <t>December 27th = 2nd part of January</t>
  </si>
  <si>
    <t>need 252.39 for 2nd payment</t>
  </si>
  <si>
    <t>need 1131.61 for 2nd payment</t>
  </si>
  <si>
    <t>need 252.39 for 3rd payment</t>
  </si>
  <si>
    <t>need 1131.61 for 3rd payment</t>
  </si>
  <si>
    <t>need 252.39 for 4th payment</t>
  </si>
  <si>
    <t>need 1131.61 for 4th payment</t>
  </si>
  <si>
    <t>need 252.39 for 5th payment</t>
  </si>
  <si>
    <t>need 1131.61 for 5th payment</t>
  </si>
  <si>
    <t>need 252.39 for 6th payment</t>
  </si>
  <si>
    <t>need 1131.61 for 6th payment</t>
  </si>
  <si>
    <t>need 252.39 for 7th payment</t>
  </si>
  <si>
    <t>need 252.39 for 1st payment</t>
  </si>
  <si>
    <t>need 1131.61 for 1st payment</t>
  </si>
  <si>
    <t>1131.61 to save!!!</t>
  </si>
  <si>
    <t>August 9th = 2nd part of august</t>
  </si>
  <si>
    <t>July 2013 Monthly Budget</t>
  </si>
  <si>
    <t>Utilities(Entergy = 62.00, Water, Cable &amp; internet = 82.10)</t>
  </si>
  <si>
    <t>Democrat subscription</t>
  </si>
  <si>
    <t>Income:</t>
  </si>
  <si>
    <t>Brian</t>
  </si>
  <si>
    <t>1st half of month</t>
  </si>
  <si>
    <t>2nd half of month</t>
  </si>
  <si>
    <t>Lauren</t>
  </si>
  <si>
    <t>Alliance Cable Company</t>
  </si>
  <si>
    <t>Greenbrier Water, trash payment</t>
  </si>
  <si>
    <t>August 2013 Monthly Budget</t>
  </si>
  <si>
    <t>Entergy Payment (8/27/2013)</t>
  </si>
  <si>
    <t>September 2013 Monthly Budget</t>
  </si>
  <si>
    <t>October 2013 Monthly Budget</t>
  </si>
  <si>
    <t>Direct TV(auto debt)</t>
  </si>
  <si>
    <t>Entertainment Money</t>
  </si>
  <si>
    <t>Entergy Payment</t>
  </si>
  <si>
    <t>Home Depot(18th)</t>
  </si>
  <si>
    <t>November 2013 Monthly Budget</t>
  </si>
  <si>
    <t>December 2013 Monthly Budget</t>
  </si>
  <si>
    <t>January 2014 Monthly Budget</t>
  </si>
  <si>
    <t>GE Care Credit card(due on the 6th of each month)</t>
  </si>
  <si>
    <t>Febuary 2014 Monthly Budget</t>
  </si>
  <si>
    <t>Care Credit card(due on the 6th, must call them)</t>
  </si>
  <si>
    <t>Expense Cost:</t>
  </si>
  <si>
    <t>Amazon payment(payment scheduled already)</t>
  </si>
  <si>
    <t>March 2014 Monthly Budget</t>
  </si>
  <si>
    <t>Money for savings</t>
  </si>
  <si>
    <t>April 2014 Monthly Budget</t>
  </si>
  <si>
    <t>May 2014 Monthly Budget</t>
  </si>
  <si>
    <t>Lowes Credit Card</t>
  </si>
  <si>
    <t>Kay Credit Card</t>
  </si>
  <si>
    <t>Evan Daycare #4 (automatic)</t>
  </si>
  <si>
    <t>Evan Daycare #2 (automatic)</t>
  </si>
  <si>
    <t>Evan Daycare #1 (automatic)</t>
  </si>
  <si>
    <t>New House Payment #1 (automatic)</t>
  </si>
  <si>
    <t>Democrat subscription (automatic)</t>
  </si>
  <si>
    <t>Evan Daycare #3 (automatic)</t>
  </si>
  <si>
    <t>Edfinancial Loan</t>
  </si>
  <si>
    <t>NelNet loan</t>
  </si>
  <si>
    <t>Care Credit card (automatic)</t>
  </si>
  <si>
    <t>Arkansas Children's Hospital</t>
  </si>
  <si>
    <t>New House Payment #2 (automatic)</t>
  </si>
  <si>
    <t>Direct TV (automatic)</t>
  </si>
  <si>
    <t>Entergy Payment (automatic)</t>
  </si>
  <si>
    <t xml:space="preserve">AES Student Loan Payment </t>
  </si>
  <si>
    <t>Care Credit</t>
  </si>
  <si>
    <t>Arkansas Children's hospital</t>
  </si>
  <si>
    <t>total:</t>
  </si>
  <si>
    <t>Future Expense Cost:</t>
  </si>
  <si>
    <t>June 2014 Monthly Budget</t>
  </si>
  <si>
    <t>Vivint Payment</t>
  </si>
  <si>
    <t>Toyota Payment(automatic)</t>
  </si>
  <si>
    <t>Vivint Payment(automatic)</t>
  </si>
  <si>
    <t>July 2014 Monthly Budget</t>
  </si>
  <si>
    <t>August 2014 Monthly Budget</t>
  </si>
  <si>
    <t>September 2014 Monthly Budget</t>
  </si>
  <si>
    <t>AES Student Loan Payment (automatic)</t>
  </si>
  <si>
    <t>Tahoe Payment</t>
  </si>
  <si>
    <t>Care Credit Card(automatic)</t>
  </si>
  <si>
    <t>Lowes Credit Card(automatic)</t>
  </si>
  <si>
    <t>Sams club card(automatic)</t>
  </si>
  <si>
    <t>Edfinancial Loan(automatic)</t>
  </si>
  <si>
    <t>NelNet loan(automatic)</t>
  </si>
  <si>
    <t>money left over</t>
  </si>
  <si>
    <t>what we make 1st half of month</t>
  </si>
  <si>
    <t>what we owe 1st half of month</t>
  </si>
  <si>
    <t>what we make 2nd half of month</t>
  </si>
  <si>
    <t>what we owe 2nd half of month</t>
  </si>
  <si>
    <t>1st half of month left over</t>
  </si>
  <si>
    <t>money needed for 2nd child daycare</t>
  </si>
  <si>
    <t>2nd half of month left over</t>
  </si>
  <si>
    <t>Average for two week span</t>
  </si>
  <si>
    <t>October 2014 Monthly Budget</t>
  </si>
  <si>
    <t>Lowes card = 2170.27</t>
  </si>
  <si>
    <t>Care credit = 375.00</t>
  </si>
  <si>
    <t>November 2014 Monthly Budget</t>
  </si>
  <si>
    <t>7 months to pay off</t>
  </si>
  <si>
    <t>8 months to pay off</t>
  </si>
  <si>
    <t>19 months to pay off</t>
  </si>
  <si>
    <t>Navient = 11941.09</t>
  </si>
  <si>
    <t>Citi Student Loan = 14883.74</t>
  </si>
  <si>
    <t>AES = 39377.39</t>
  </si>
  <si>
    <t>Nelnet = 13390.91</t>
  </si>
  <si>
    <t>6 months to pay off</t>
  </si>
  <si>
    <t>Edfinancial = 9013.67</t>
  </si>
  <si>
    <t>4 months to pay off</t>
  </si>
  <si>
    <t>Sams club = 4978.59</t>
  </si>
  <si>
    <t>December 2014 Monthly Budget</t>
  </si>
  <si>
    <t>January 2015 Monthly Budget</t>
  </si>
  <si>
    <t>Evan &amp; Rep Daycare #3 (automatic)</t>
  </si>
  <si>
    <t>Evan &amp; Rep Daycare #4 (automatic)</t>
  </si>
  <si>
    <t>Evan &amp; Rep Daycare #2 (automatic)</t>
  </si>
  <si>
    <t>Evan &amp; Rep Daycare #1 (automatic)</t>
  </si>
  <si>
    <t>February 2015 Monthly Budget</t>
  </si>
  <si>
    <t>March 2015 Monthly Budget</t>
  </si>
  <si>
    <t>US Bank Credit Card(automatic)</t>
  </si>
  <si>
    <t>April 2015 Monthly Budget</t>
  </si>
  <si>
    <t>May 29th = 1st half of June</t>
  </si>
  <si>
    <t>June 12th = 2nd half of June</t>
  </si>
  <si>
    <t>June 26th = 1st half of July</t>
  </si>
  <si>
    <t>July 10th = 2nd half of July</t>
  </si>
  <si>
    <t>July 24th = 1st half of August</t>
  </si>
  <si>
    <t>August 7th = 2nd half of August</t>
  </si>
  <si>
    <t>August 21st = 1st half of September</t>
  </si>
  <si>
    <t>September 4th = 2nd half of September</t>
  </si>
  <si>
    <t>September 18th = 1st half of October</t>
  </si>
  <si>
    <t>October 2nd = 2nd half of October</t>
  </si>
  <si>
    <t>October 16th = extra check!!!!</t>
  </si>
  <si>
    <t>October 30th = 1st half of November</t>
  </si>
  <si>
    <t>November 13th = 2nd half of November</t>
  </si>
  <si>
    <t>November 27th = 1st half of December</t>
  </si>
  <si>
    <t>December 11th = 2nd half of December</t>
  </si>
  <si>
    <t>December 25th = 1st half of Januaray</t>
  </si>
  <si>
    <t>May 2015 Monthly Budget</t>
  </si>
  <si>
    <t>Lowes credit card payment(automatic)</t>
  </si>
  <si>
    <t>June 2015 Monthly Budget</t>
  </si>
  <si>
    <t>Check Information</t>
  </si>
  <si>
    <t>July 2015 Monthly Budget</t>
  </si>
  <si>
    <t>August 2015 Monthly Budget</t>
  </si>
  <si>
    <t>Nissan Altima Payment</t>
  </si>
  <si>
    <t>Esurance Payment (automatic)</t>
  </si>
  <si>
    <t>September 2015 Monthly Budget</t>
  </si>
  <si>
    <t>Money for Savings each check</t>
  </si>
  <si>
    <t>October 2015 Monthly Budget</t>
  </si>
  <si>
    <t>Dept Education Student Loan</t>
  </si>
  <si>
    <t>Synchrony Bank Payment</t>
  </si>
  <si>
    <t>November 2015 Monthly Budget</t>
  </si>
  <si>
    <t>Due Date</t>
  </si>
  <si>
    <t>Due Date:</t>
  </si>
  <si>
    <t>27th of each month</t>
  </si>
  <si>
    <t>1st of each month</t>
  </si>
  <si>
    <t>22nd of each month</t>
  </si>
  <si>
    <t>11th of each month</t>
  </si>
  <si>
    <t>30th of each month</t>
  </si>
  <si>
    <t>23rd of each month</t>
  </si>
  <si>
    <t>3rd of each month</t>
  </si>
  <si>
    <t>28th of each month</t>
  </si>
  <si>
    <t xml:space="preserve">each Monday </t>
  </si>
  <si>
    <t>14th of each month</t>
  </si>
  <si>
    <t>7th of each month</t>
  </si>
  <si>
    <t>2nd of each month</t>
  </si>
  <si>
    <t>15th of each month</t>
  </si>
  <si>
    <t>9th of each month</t>
  </si>
  <si>
    <t>5th of each month</t>
  </si>
  <si>
    <t>4th of each month</t>
  </si>
  <si>
    <t>18th of each month</t>
  </si>
  <si>
    <t>20th of each month</t>
  </si>
  <si>
    <t>December 2015 Monthly Budget</t>
  </si>
  <si>
    <t>December 24th = 1st half of Januaray</t>
  </si>
  <si>
    <t>January 2016 Monthly Budget</t>
  </si>
  <si>
    <t>February 2016 Monthly Budget</t>
  </si>
  <si>
    <t>March 2016 Monthly Budget</t>
  </si>
  <si>
    <t>February 19th - 1st half of March</t>
  </si>
  <si>
    <t>March 4th - 2nd half of March</t>
  </si>
  <si>
    <t>March 18th - 1st half of April</t>
  </si>
  <si>
    <t>April 1st - Extra check!!!!</t>
  </si>
  <si>
    <t>April 15th - 2nd half of April</t>
  </si>
  <si>
    <t>April 29th - 1st half of May</t>
  </si>
  <si>
    <t>May 13th - 2nd half of May</t>
  </si>
  <si>
    <t>May 27th - 1st half June</t>
  </si>
  <si>
    <t>June 10th - 2nd half of June</t>
  </si>
  <si>
    <t>June 24th - 1st half of July</t>
  </si>
  <si>
    <t>July 8th - 2nd half of July</t>
  </si>
  <si>
    <t xml:space="preserve">July 22nd - 1st half of August </t>
  </si>
  <si>
    <t>August 5th - 2nd half of August</t>
  </si>
  <si>
    <t>August 19th - 1st half of September</t>
  </si>
  <si>
    <t>September 2nd - 2nd half of September</t>
  </si>
  <si>
    <t>September 16th - 1st half of October</t>
  </si>
  <si>
    <t>September 30th - 2nd half of October</t>
  </si>
  <si>
    <t>October 14th - 1st half of November</t>
  </si>
  <si>
    <t>October 28th - 2nd half of November</t>
  </si>
  <si>
    <t>November 11th - 1st half of December</t>
  </si>
  <si>
    <t>November 25th - Extra Check!!!</t>
  </si>
  <si>
    <t>December 9th - 2nd half of December</t>
  </si>
  <si>
    <t>December 23rd - 1st half of January 2017</t>
  </si>
  <si>
    <t>April 2016 Monthly Budget</t>
  </si>
  <si>
    <t>May 2016 Monthly Budget</t>
  </si>
  <si>
    <t>June 2016 Monthly Budget</t>
  </si>
  <si>
    <t>Great Lakes Student Loan(automatic)</t>
  </si>
  <si>
    <t>My Media3 internet</t>
  </si>
  <si>
    <t>July 2016 Monthly Budget</t>
  </si>
  <si>
    <t>26th of each month</t>
  </si>
  <si>
    <t>10th of each month</t>
  </si>
  <si>
    <t>Conway Regional Bill(automatic)</t>
  </si>
  <si>
    <t>Used to break up house payment</t>
  </si>
  <si>
    <t>August 2016 Monthly Budget</t>
  </si>
  <si>
    <t>Allstate Car insurance</t>
  </si>
  <si>
    <t>September 2016 Monthly Budget</t>
  </si>
  <si>
    <t>US Bank Loan payment</t>
  </si>
  <si>
    <t>16th of each month</t>
  </si>
  <si>
    <t>Navient (automatic)</t>
  </si>
  <si>
    <t>October 2016 Monthly Budget</t>
  </si>
  <si>
    <t xml:space="preserve">Amazon payment </t>
  </si>
  <si>
    <t>17th of each month</t>
  </si>
  <si>
    <t>Synchrony bank</t>
  </si>
  <si>
    <t>Lowes payment</t>
  </si>
  <si>
    <t>November 2016 Monthly Budget</t>
  </si>
  <si>
    <t>Citi Student Loan Payment (automatic)</t>
  </si>
  <si>
    <t>December 2016 Monthly Budget</t>
  </si>
  <si>
    <t>January 2017 Monthly Budget</t>
  </si>
  <si>
    <t>FirstMark Loan Payment (automatic)</t>
  </si>
  <si>
    <t>Firstmark Services loan(automatic)</t>
  </si>
  <si>
    <t>February 2017 Monthly Budget</t>
  </si>
  <si>
    <t>March 2017 Monthly Budget</t>
  </si>
  <si>
    <t>April 2017 Monthly Budget</t>
  </si>
  <si>
    <t>Loan Payoff Schedule</t>
  </si>
  <si>
    <t>Current Balance - 6310.75</t>
  </si>
  <si>
    <t>Balance as of November 2017 - 5680.75~</t>
  </si>
  <si>
    <t>Current Balance - 9797.33</t>
  </si>
  <si>
    <t>Months to pay off - ~8 months April 2018 to December 2018</t>
  </si>
  <si>
    <t>Months to pay off - ~6 months or November 2017 to April 2018</t>
  </si>
  <si>
    <t>NelNet loan(automatic) - Lauren</t>
  </si>
  <si>
    <t>Great Lakes Student Loan(automatic) - Lauren</t>
  </si>
  <si>
    <t xml:space="preserve">Nelnet - 171.55 a month </t>
  </si>
  <si>
    <t>Great Lakes -128.05</t>
  </si>
  <si>
    <t>AES - 244.92</t>
  </si>
  <si>
    <t>Current Balance - 41086.27</t>
  </si>
  <si>
    <t>Balance as of April 2018 - 8357.33</t>
  </si>
  <si>
    <t>First Mark Services - 258.24</t>
  </si>
  <si>
    <t>Current Balance - 9819.47</t>
  </si>
  <si>
    <t>Navient - 152.66</t>
  </si>
  <si>
    <t>Current Balance - 10417.53</t>
  </si>
  <si>
    <t>Balance as of December 2018 - 6014.27</t>
  </si>
  <si>
    <t>Months to pay off - ~4 months December 2018 to April 2019</t>
  </si>
  <si>
    <t>Balance as of April 2019 - 8377.53</t>
  </si>
  <si>
    <t>Amount to pay each month - 838.40 + 128.05 = 966.45</t>
  </si>
  <si>
    <t>Amount to pay each month - 966.45 + 171.55 = 1138.00</t>
  </si>
  <si>
    <t>Amount to pay each month - 1138 + 258.24 = 1396.24</t>
  </si>
  <si>
    <t>Amount to pay each month - 1396.24 + 152.66 = 1548.90</t>
  </si>
  <si>
    <t>Months to pay off - ~5 months April 2019 to September 2019</t>
  </si>
  <si>
    <t>Amount to pay each month - 1548.90 + 244.92 = 1793.82</t>
  </si>
  <si>
    <t>Balance as of September 2019 - 39523.17</t>
  </si>
  <si>
    <t>Months to pay off - ~22 months September 2019 to July 2021</t>
  </si>
  <si>
    <t>May 2017 Monthly Budget</t>
  </si>
  <si>
    <t>SoFi Load (automatic)</t>
  </si>
  <si>
    <t>25th of each month</t>
  </si>
  <si>
    <t>Credit Card Debt</t>
  </si>
  <si>
    <t>Lowes - 110.00</t>
  </si>
  <si>
    <t>Current Balance - 3606.16</t>
  </si>
  <si>
    <t>US Bank - 60.00</t>
  </si>
  <si>
    <t>Current Balance - 3003.17</t>
  </si>
  <si>
    <t>Amazon - 48.00</t>
  </si>
  <si>
    <t>Current Balance - 1967.36</t>
  </si>
  <si>
    <t>Balance as of August 2017 - 3200.00</t>
  </si>
  <si>
    <t>Amount to pay each month - 800.00 + 110.00 = 910.00</t>
  </si>
  <si>
    <t>Month to pay off - ~3.5 months August 2017 to October 2017</t>
  </si>
  <si>
    <t>Balance as of October 2017 - 2703.17</t>
  </si>
  <si>
    <t>Amount to pay each month - 910.00 + 60 = 970.00</t>
  </si>
  <si>
    <t>Balance as of December 2017 - 1631.36</t>
  </si>
  <si>
    <t>Amount to pay each month - 970.00 + 48.00 = 1018.00</t>
  </si>
  <si>
    <t>Month to pay off - ~3 months November 2017 to Januaray 2018</t>
  </si>
  <si>
    <t>Month to pay off - ~2 months Feb 2018 to March 2018</t>
  </si>
  <si>
    <t>June 2017 Monthly Budget</t>
  </si>
  <si>
    <t>July 2017 Monthly Budget</t>
  </si>
  <si>
    <t>August 2017 Monthly Budget</t>
  </si>
  <si>
    <t>Rep Daycare #1 (automatic)</t>
  </si>
  <si>
    <t>September 2017 Monthly Budget</t>
  </si>
  <si>
    <t>October 2017 Monthly Budget</t>
  </si>
  <si>
    <t>Citi Black Card</t>
  </si>
  <si>
    <t>6th of each month</t>
  </si>
  <si>
    <t>November 2017 Monthly Budget</t>
  </si>
  <si>
    <t>Nissan Finance</t>
  </si>
  <si>
    <t>Mohela Loan (automatic)</t>
  </si>
  <si>
    <t>PS VUE (automatic)</t>
  </si>
  <si>
    <t>13th of each month</t>
  </si>
  <si>
    <t>December 2017 Monthly Budget</t>
  </si>
  <si>
    <t>Anytime Fitness Payment</t>
  </si>
  <si>
    <t>Direct TV</t>
  </si>
  <si>
    <t>January 2018 Monthly Budget</t>
  </si>
  <si>
    <t>Rep Daycare #2 (automatic)</t>
  </si>
  <si>
    <t>Rep Daycare #3 (automatic)</t>
  </si>
  <si>
    <t>Rep Daycare #4 (automatic)</t>
  </si>
  <si>
    <t>February 2018 Monthly Budget</t>
  </si>
  <si>
    <t>March 2018 Monthly Budget</t>
  </si>
  <si>
    <t>April 2018 Monthly Budget</t>
  </si>
  <si>
    <t>May 2018 Monthly Budget</t>
  </si>
  <si>
    <t>June 2018 Monthly Budget</t>
  </si>
  <si>
    <t>US Bank loan payment</t>
  </si>
  <si>
    <t>Black Card</t>
  </si>
  <si>
    <t>US Bank Loan</t>
  </si>
  <si>
    <t>Amex Card</t>
  </si>
  <si>
    <t>Who We Owe</t>
  </si>
  <si>
    <t>What We Owe</t>
  </si>
  <si>
    <t>What we pay a month</t>
  </si>
  <si>
    <t>When comes due</t>
  </si>
  <si>
    <t>May 14th 2019</t>
  </si>
  <si>
    <t>Direct TV Payment (automatic)</t>
  </si>
  <si>
    <t>July 2018 Monthly Budget</t>
  </si>
  <si>
    <t>3373.9 is what I make at 2 checks a month with 120,000</t>
  </si>
  <si>
    <t>3204.16 is what I make at ABC with two checks a month like FO</t>
  </si>
  <si>
    <t>3626.43 is what I make at 2 checks with 130,000</t>
  </si>
  <si>
    <t>844.51 more a month at 130,000</t>
  </si>
  <si>
    <t>339.48 more a month at 120,000</t>
  </si>
  <si>
    <t>2957.69 with me and the boys</t>
  </si>
  <si>
    <t>2806.51 with family</t>
  </si>
  <si>
    <t>80973.6 a year</t>
  </si>
  <si>
    <t>76899.94 a year</t>
  </si>
  <si>
    <t>87034.32 a year</t>
  </si>
  <si>
    <t>391.64 with raise at ABC a month</t>
  </si>
  <si>
    <t>AF, US Bank loan, Black Card, Blizzard, Synchrony, Conway Regional, smaller cars = 1122.10 every 2 weeks</t>
  </si>
  <si>
    <t>With Family(400.72 &amp; 125,000) = 2984.01 = 574 every 2 weeks</t>
  </si>
  <si>
    <t>With Family(400.72 &amp; 130,000) = 3098.35 = 685 every 2 weeks</t>
  </si>
  <si>
    <t>American Express</t>
  </si>
  <si>
    <t>21st of each month</t>
  </si>
  <si>
    <t>August 2018 Monthly Budget</t>
  </si>
  <si>
    <t>September 2018 Monthly Budget</t>
  </si>
  <si>
    <t>Citi Card Payoff Schedule:</t>
  </si>
  <si>
    <t>American Express Payoff Schedule:</t>
  </si>
  <si>
    <t xml:space="preserve">US Bank Loan Payoff Schedule: </t>
  </si>
  <si>
    <t>10721.16</t>
  </si>
  <si>
    <t>5933.76</t>
  </si>
  <si>
    <t>11293.76</t>
  </si>
  <si>
    <t>Paid</t>
  </si>
  <si>
    <t>Paid In Full</t>
  </si>
  <si>
    <t>Nelnet Student Loan(lauren)</t>
  </si>
  <si>
    <t>Sofi Mohela Student Loan(Brian)</t>
  </si>
  <si>
    <t>11513.13</t>
  </si>
  <si>
    <t>58185.21</t>
  </si>
  <si>
    <t>October 2018 Monthly Budget</t>
  </si>
  <si>
    <t>10721.17</t>
  </si>
  <si>
    <t>11395.23</t>
  </si>
  <si>
    <t>November 2018 Monthly Budget</t>
  </si>
  <si>
    <t>Rep Daycare Payment #2</t>
  </si>
  <si>
    <t>Rep Daycare payment #1</t>
  </si>
  <si>
    <t>December 2018 Monthly Budget</t>
  </si>
  <si>
    <t>January 2019 Monthly Budget</t>
  </si>
  <si>
    <t>(overage of 1114.08)</t>
  </si>
  <si>
    <t>(overage of 2466.02)</t>
  </si>
  <si>
    <t>(overage of 228.01)</t>
  </si>
  <si>
    <t>(overage of 427.90)</t>
  </si>
  <si>
    <t>February 2019 Monthly Budget</t>
  </si>
  <si>
    <t>March 2019 Monthly Budget</t>
  </si>
  <si>
    <t>March 29th =                        9304.08</t>
  </si>
  <si>
    <t>April 2019 Monthly Budget</t>
  </si>
  <si>
    <t>May 2019 Monthly Budget</t>
  </si>
  <si>
    <t>Windstream Internet Payment (automatic)</t>
  </si>
  <si>
    <t>Nissan Finance (automatic)</t>
  </si>
  <si>
    <t>American Express (automatic)</t>
  </si>
  <si>
    <t>US Bank loan payment (automatic)</t>
  </si>
  <si>
    <t>Tahoe Payment (automatic)</t>
  </si>
  <si>
    <t>June 2019 Monthly Budget</t>
  </si>
  <si>
    <t>Synchrony Bank Payment - Mattress (automatic)</t>
  </si>
  <si>
    <t>Netflix</t>
  </si>
  <si>
    <t>Lowes Credit Card payment</t>
  </si>
  <si>
    <t>Nelnet Loan #1(automatic)</t>
  </si>
  <si>
    <t>NelNet loan #2(automatic)</t>
  </si>
  <si>
    <t>July 2019 Monthly Budget</t>
  </si>
  <si>
    <t>August 2019 Monthly Budget</t>
  </si>
  <si>
    <t>Citi Black Card payment (automatic)</t>
  </si>
  <si>
    <t>Deposit into savings account:                                                  $2341.18</t>
  </si>
  <si>
    <t>Rep daycare payment (automatic)</t>
  </si>
  <si>
    <t>Each Week</t>
  </si>
  <si>
    <t>September 2019 Monthly Budget</t>
  </si>
  <si>
    <t>31st of each month</t>
  </si>
  <si>
    <t>October 2019 Monthly Budget</t>
  </si>
  <si>
    <t>US Bank Credit Card (8,000 available)</t>
  </si>
  <si>
    <t>Citi Bank Credit Card (8,691.27 available)</t>
  </si>
  <si>
    <t>Mattress Firm CC (3992.00 available)</t>
  </si>
  <si>
    <t>Lowes CC (8859.00 available)</t>
  </si>
  <si>
    <t>Sam's Club MasterCard (7799.00 available)</t>
  </si>
  <si>
    <t>Amazon CC (4272.00 available)</t>
  </si>
  <si>
    <t>American Express CC(19,509.00 available)</t>
  </si>
  <si>
    <t>US Bank Personal Loan</t>
  </si>
  <si>
    <t>November 2019 Monthly Budget</t>
  </si>
  <si>
    <t>(paying off on 11/22/19)</t>
  </si>
  <si>
    <t>December 2019 Monthly Budget</t>
  </si>
  <si>
    <t>January 2020 Monthly Budget</t>
  </si>
  <si>
    <t>Travlers Insurance</t>
  </si>
  <si>
    <t>February 2020 Monthly Budget</t>
  </si>
  <si>
    <t>BBVA Finance (automatic)</t>
  </si>
  <si>
    <t>Amex CC(will be 0$ soon)</t>
  </si>
  <si>
    <t>Lowes CC (will be 0$ soon)</t>
  </si>
  <si>
    <t>Sam's Club CC (will be 0$ soon)</t>
  </si>
  <si>
    <t>Amazon CC (4272.00 available) (will be 0$ soon)</t>
  </si>
  <si>
    <t>Mohela Student Interest Loan (automatic)</t>
  </si>
  <si>
    <t>March 2020 Monthly Budget</t>
  </si>
  <si>
    <t>12th of each month</t>
  </si>
  <si>
    <t>What we owe</t>
  </si>
  <si>
    <t>Amount we pay a month</t>
  </si>
  <si>
    <t>April 2020 Monthly Budget</t>
  </si>
  <si>
    <t>NelNet loan #2(automatic)(Gov't defer till 9/20/20)</t>
  </si>
  <si>
    <t>May 2020 Monthly Budget</t>
  </si>
  <si>
    <t>(minus 2,000 for painting house)</t>
  </si>
  <si>
    <t>(CC debt)</t>
  </si>
  <si>
    <t>237,050‬</t>
  </si>
  <si>
    <t>5% down payment</t>
  </si>
  <si>
    <t>215,555‬</t>
  </si>
  <si>
    <t>(what  we owe on the house)</t>
  </si>
  <si>
    <t>9,916.4‬</t>
  </si>
  <si>
    <t>Potential profit after all things!</t>
  </si>
  <si>
    <t>4%  Realtor Fee</t>
  </si>
  <si>
    <t>Spotify USA (automatic)</t>
  </si>
  <si>
    <t>Disney+(automatic)</t>
  </si>
  <si>
    <t>Mortgage Payment (automatic)</t>
  </si>
  <si>
    <t>Arkansas Protection Services</t>
  </si>
  <si>
    <t>Lauren Student Loan</t>
  </si>
  <si>
    <t>Monthly payment</t>
  </si>
  <si>
    <t>June 2020 Monthly Budget</t>
  </si>
  <si>
    <t>Paid Quartly</t>
  </si>
  <si>
    <t xml:space="preserve">Sam's Club CC </t>
  </si>
  <si>
    <t>Lowes CC</t>
  </si>
  <si>
    <t>Swyft Internet(automatic)</t>
  </si>
  <si>
    <t>Pool Loan Payment(automatic)</t>
  </si>
  <si>
    <t>July 2020 Monthly Budget</t>
  </si>
  <si>
    <t>August 2020 Monthly Budget</t>
  </si>
  <si>
    <t>29th of each month</t>
  </si>
  <si>
    <t>September 2020 Monthly Budget</t>
  </si>
  <si>
    <t>Lawn Mower</t>
  </si>
  <si>
    <t>Pool Loan: Pay 70$ to principle a month(I think)</t>
  </si>
  <si>
    <t>Savings account: 740 a month</t>
  </si>
  <si>
    <t>740 plus 342 how long to catch back up</t>
  </si>
  <si>
    <t>52 months till we have more savings than what we owe.</t>
  </si>
  <si>
    <t>38 months to catch back up</t>
  </si>
  <si>
    <t xml:space="preserve"> same amount of months what we have now</t>
  </si>
  <si>
    <t>October 2020 Monthly Budget</t>
  </si>
  <si>
    <t>November 2020 Monthly Budget</t>
  </si>
  <si>
    <t>youtube tv (automatic)</t>
  </si>
  <si>
    <t>December 2020 Monthly Budget</t>
  </si>
  <si>
    <t>direct tv payment (automatic)</t>
  </si>
  <si>
    <t>January 2021 Monthly Budget</t>
  </si>
  <si>
    <t>5185.11   +   1635.06 = 6,820.17</t>
  </si>
  <si>
    <t>((6674.5   +   2883.06) - 1600 ) - 740 = 7,217.56</t>
  </si>
  <si>
    <t>after christmas spending payments = 397.39</t>
  </si>
  <si>
    <t>February 2021 Monthly Budget</t>
  </si>
  <si>
    <t>March 2021 Monthly Budget</t>
  </si>
  <si>
    <t>April 2021 Monthly Budget</t>
  </si>
  <si>
    <t>May 2021 Monthly Budget</t>
  </si>
  <si>
    <t>June 2021 Monthly Budget</t>
  </si>
  <si>
    <t>Toyota Financial Payment (automatic)</t>
  </si>
  <si>
    <t>Citi card payment</t>
  </si>
  <si>
    <t>1st half of the month</t>
  </si>
  <si>
    <t>2nd half of the month</t>
  </si>
  <si>
    <t>Lowes</t>
  </si>
  <si>
    <t>July 2021 Monthly Budget</t>
  </si>
  <si>
    <t>August 2021 Monthly Budget</t>
  </si>
  <si>
    <t>Ram Truck Payment (automatic)</t>
  </si>
  <si>
    <t>September 2021 Monthly Budget</t>
  </si>
  <si>
    <t>October 2021 Monthly Budget</t>
  </si>
  <si>
    <t xml:space="preserve">Citi Card payment </t>
  </si>
  <si>
    <t>Payment - Mattress (automatic)</t>
  </si>
  <si>
    <t>Amex</t>
  </si>
  <si>
    <t>17.7 months to save this much up</t>
  </si>
  <si>
    <t>13120.88 % 739.67</t>
  </si>
  <si>
    <t>November 2021 Monthly Budget</t>
  </si>
  <si>
    <t>December 2021 Monthly Budget</t>
  </si>
  <si>
    <t>January 2022 Monthly Budget</t>
  </si>
  <si>
    <t>March 2022 Monthly Budget</t>
  </si>
  <si>
    <t>Starlink(automatic)</t>
  </si>
  <si>
    <t>April 2022 Monthly Budget</t>
  </si>
  <si>
    <t>Combined amount:</t>
  </si>
  <si>
    <t>Combined - normal pay</t>
  </si>
  <si>
    <t>Bonus - 2 week spending</t>
  </si>
  <si>
    <t>Credit cards:</t>
  </si>
  <si>
    <t>Amount owed</t>
  </si>
  <si>
    <t>Sams club Mastercard</t>
  </si>
  <si>
    <t>Disney Trip Expenses</t>
  </si>
  <si>
    <t>House</t>
  </si>
  <si>
    <t>Disney Tickets</t>
  </si>
  <si>
    <t>Car Rental</t>
  </si>
  <si>
    <t>Universal Tickets</t>
  </si>
  <si>
    <t>pay 2567.19 on 4/18</t>
  </si>
  <si>
    <t>pay 1727.18 on 4/18</t>
  </si>
  <si>
    <t>May 2022 Monthly Budget</t>
  </si>
  <si>
    <t>June 2022 Monthly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</si>
</sst>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.00"/>
    <numFmt numFmtId="165" formatCode="[$-409]mmmm\-yy;@"/>
    <numFmt numFmtId="166" formatCode="[$-409]mmm\-yy;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8"/>
      <color rgb="FF000000"/>
      <name val="Arial"/>
      <family val="2"/>
    </font>
    <font>
      <b/>
      <i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8"/>
      <color theme="1"/>
      <name val="Verdana"/>
      <family val="2"/>
    </font>
    <font>
      <b/>
      <sz val="11"/>
      <color rgb="FFFF0000"/>
      <name val="Calibri"/>
      <family val="2"/>
      <scheme val="minor"/>
    </font>
    <font>
      <sz val="9"/>
      <color rgb="FF4A4A4A"/>
      <name val="Arial"/>
      <family val="2"/>
    </font>
    <font>
      <u/>
      <sz val="12"/>
      <name val="Calibri"/>
      <family val="2"/>
      <scheme val="minor"/>
    </font>
    <font>
      <sz val="11"/>
      <color rgb="FF82990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45">
    <xf numFmtId="0" fontId="0" fillId="0" borderId="0" xfId="0"/>
    <xf numFmtId="0" fontId="2" fillId="2" borderId="0" xfId="0" applyFont="1" applyFill="1" applyAlignment="1">
      <alignment horizontal="center"/>
    </xf>
    <xf numFmtId="0" fontId="0" fillId="4" borderId="0" xfId="0" applyFill="1"/>
    <xf numFmtId="0" fontId="3" fillId="0" borderId="1" xfId="0" applyFont="1" applyBorder="1"/>
    <xf numFmtId="0" fontId="0" fillId="0" borderId="1" xfId="0" applyBorder="1"/>
    <xf numFmtId="16" fontId="4" fillId="0" borderId="1" xfId="0" applyNumberFormat="1" applyFont="1" applyBorder="1"/>
    <xf numFmtId="0" fontId="1" fillId="0" borderId="1" xfId="0" applyFont="1" applyBorder="1" applyAlignment="1">
      <alignment horizontal="center"/>
    </xf>
    <xf numFmtId="164" fontId="0" fillId="0" borderId="1" xfId="0" applyNumberFormat="1" applyBorder="1"/>
    <xf numFmtId="0" fontId="1" fillId="0" borderId="1" xfId="0" applyFont="1" applyBorder="1"/>
    <xf numFmtId="164" fontId="1" fillId="0" borderId="1" xfId="0" applyNumberFormat="1" applyFont="1" applyBorder="1"/>
    <xf numFmtId="0" fontId="0" fillId="4" borderId="1" xfId="0" applyFill="1" applyBorder="1"/>
    <xf numFmtId="0" fontId="0" fillId="2" borderId="1" xfId="0" applyFill="1" applyBorder="1"/>
    <xf numFmtId="164" fontId="0" fillId="2" borderId="1" xfId="0" applyNumberFormat="1" applyFill="1" applyBorder="1"/>
    <xf numFmtId="4" fontId="0" fillId="0" borderId="1" xfId="0" applyNumberFormat="1" applyBorder="1"/>
    <xf numFmtId="0" fontId="0" fillId="5" borderId="1" xfId="0" applyFill="1" applyBorder="1"/>
    <xf numFmtId="164" fontId="0" fillId="5" borderId="1" xfId="0" applyNumberFormat="1" applyFill="1" applyBorder="1"/>
    <xf numFmtId="0" fontId="0" fillId="5" borderId="0" xfId="0" applyFill="1"/>
    <xf numFmtId="0" fontId="3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4" fontId="0" fillId="3" borderId="0" xfId="0" applyNumberFormat="1" applyFill="1"/>
    <xf numFmtId="0" fontId="5" fillId="0" borderId="1" xfId="0" applyFont="1" applyBorder="1"/>
    <xf numFmtId="164" fontId="5" fillId="0" borderId="1" xfId="0" applyNumberFormat="1" applyFont="1" applyBorder="1"/>
    <xf numFmtId="4" fontId="5" fillId="0" borderId="1" xfId="0" applyNumberFormat="1" applyFont="1" applyBorder="1"/>
    <xf numFmtId="4" fontId="6" fillId="0" borderId="1" xfId="0" applyNumberFormat="1" applyFont="1" applyBorder="1"/>
    <xf numFmtId="0" fontId="5" fillId="0" borderId="0" xfId="0" applyFont="1"/>
    <xf numFmtId="0" fontId="7" fillId="0" borderId="1" xfId="0" applyFont="1" applyBorder="1"/>
    <xf numFmtId="0" fontId="7" fillId="0" borderId="0" xfId="0" applyFont="1"/>
    <xf numFmtId="164" fontId="7" fillId="0" borderId="1" xfId="0" applyNumberFormat="1" applyFont="1" applyBorder="1"/>
    <xf numFmtId="0" fontId="5" fillId="6" borderId="0" xfId="0" applyFont="1" applyFill="1"/>
    <xf numFmtId="0" fontId="7" fillId="5" borderId="1" xfId="0" applyFont="1" applyFill="1" applyBorder="1"/>
    <xf numFmtId="164" fontId="7" fillId="5" borderId="1" xfId="0" applyNumberFormat="1" applyFont="1" applyFill="1" applyBorder="1"/>
    <xf numFmtId="0" fontId="7" fillId="5" borderId="0" xfId="0" applyFont="1" applyFill="1"/>
    <xf numFmtId="0" fontId="8" fillId="0" borderId="1" xfId="0" applyFont="1" applyBorder="1"/>
    <xf numFmtId="4" fontId="7" fillId="0" borderId="1" xfId="0" applyNumberFormat="1" applyFont="1" applyBorder="1"/>
    <xf numFmtId="0" fontId="5" fillId="8" borderId="0" xfId="0" applyFont="1" applyFill="1"/>
    <xf numFmtId="164" fontId="7" fillId="0" borderId="0" xfId="0" applyNumberFormat="1" applyFont="1"/>
    <xf numFmtId="0" fontId="5" fillId="7" borderId="0" xfId="0" applyFont="1" applyFill="1"/>
    <xf numFmtId="164" fontId="5" fillId="0" borderId="0" xfId="0" applyNumberFormat="1" applyFont="1"/>
    <xf numFmtId="0" fontId="7" fillId="8" borderId="0" xfId="0" applyFont="1" applyFill="1"/>
    <xf numFmtId="0" fontId="9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64" fontId="7" fillId="3" borderId="0" xfId="0" applyNumberFormat="1" applyFont="1" applyFill="1"/>
    <xf numFmtId="0" fontId="7" fillId="4" borderId="0" xfId="0" applyFont="1" applyFill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" fontId="10" fillId="0" borderId="1" xfId="0" applyNumberFormat="1" applyFont="1" applyBorder="1"/>
    <xf numFmtId="0" fontId="11" fillId="0" borderId="1" xfId="0" applyFont="1" applyBorder="1"/>
    <xf numFmtId="0" fontId="11" fillId="0" borderId="0" xfId="0" applyFont="1"/>
    <xf numFmtId="0" fontId="13" fillId="0" borderId="0" xfId="1" applyFont="1"/>
    <xf numFmtId="4" fontId="7" fillId="0" borderId="0" xfId="0" applyNumberFormat="1" applyFont="1"/>
    <xf numFmtId="8" fontId="7" fillId="0" borderId="0" xfId="0" applyNumberFormat="1" applyFont="1"/>
    <xf numFmtId="0" fontId="5" fillId="0" borderId="1" xfId="0" applyFont="1" applyBorder="1" applyAlignment="1">
      <alignment horizontal="right"/>
    </xf>
    <xf numFmtId="0" fontId="7" fillId="0" borderId="0" xfId="0" applyFont="1" applyAlignment="1">
      <alignment horizontal="left"/>
    </xf>
    <xf numFmtId="164" fontId="5" fillId="0" borderId="1" xfId="0" applyNumberFormat="1" applyFont="1" applyBorder="1" applyAlignment="1">
      <alignment horizontal="right"/>
    </xf>
    <xf numFmtId="0" fontId="7" fillId="9" borderId="0" xfId="0" applyFont="1" applyFill="1"/>
    <xf numFmtId="0" fontId="0" fillId="9" borderId="0" xfId="0" applyFill="1"/>
    <xf numFmtId="164" fontId="7" fillId="0" borderId="1" xfId="0" applyNumberFormat="1" applyFont="1" applyBorder="1" applyAlignment="1">
      <alignment horizontal="right"/>
    </xf>
    <xf numFmtId="0" fontId="14" fillId="0" borderId="0" xfId="1" applyFont="1"/>
    <xf numFmtId="0" fontId="15" fillId="0" borderId="0" xfId="0" applyFont="1"/>
    <xf numFmtId="0" fontId="16" fillId="0" borderId="3" xfId="0" applyFont="1" applyBorder="1"/>
    <xf numFmtId="0" fontId="16" fillId="9" borderId="1" xfId="0" applyFont="1" applyFill="1" applyBorder="1"/>
    <xf numFmtId="0" fontId="0" fillId="9" borderId="1" xfId="0" applyFill="1" applyBorder="1"/>
    <xf numFmtId="0" fontId="7" fillId="0" borderId="1" xfId="0" applyFont="1" applyBorder="1" applyAlignment="1">
      <alignment horizontal="center"/>
    </xf>
    <xf numFmtId="0" fontId="14" fillId="0" borderId="0" xfId="1" applyFont="1" applyBorder="1"/>
    <xf numFmtId="0" fontId="0" fillId="0" borderId="0" xfId="0" applyAlignment="1">
      <alignment horizontal="right"/>
    </xf>
    <xf numFmtId="0" fontId="5" fillId="5" borderId="0" xfId="0" applyFont="1" applyFill="1"/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14" fillId="0" borderId="0" xfId="0" applyFont="1" applyAlignment="1">
      <alignment horizontal="center"/>
    </xf>
    <xf numFmtId="0" fontId="7" fillId="0" borderId="1" xfId="0" applyFont="1" applyBorder="1" applyAlignment="1">
      <alignment horizontal="left"/>
    </xf>
    <xf numFmtId="0" fontId="7" fillId="2" borderId="1" xfId="0" applyFont="1" applyFill="1" applyBorder="1"/>
    <xf numFmtId="0" fontId="0" fillId="7" borderId="0" xfId="0" applyFill="1"/>
    <xf numFmtId="0" fontId="7" fillId="8" borderId="1" xfId="0" applyFont="1" applyFill="1" applyBorder="1"/>
    <xf numFmtId="164" fontId="11" fillId="0" borderId="1" xfId="0" applyNumberFormat="1" applyFont="1" applyBorder="1"/>
    <xf numFmtId="17" fontId="7" fillId="0" borderId="0" xfId="0" applyNumberFormat="1" applyFont="1"/>
    <xf numFmtId="0" fontId="0" fillId="0" borderId="2" xfId="0" applyBorder="1"/>
    <xf numFmtId="0" fontId="0" fillId="0" borderId="0" xfId="0" applyAlignment="1">
      <alignment wrapText="1"/>
    </xf>
    <xf numFmtId="0" fontId="17" fillId="0" borderId="1" xfId="0" applyFont="1" applyBorder="1"/>
    <xf numFmtId="164" fontId="17" fillId="0" borderId="1" xfId="0" applyNumberFormat="1" applyFont="1" applyBorder="1"/>
    <xf numFmtId="0" fontId="17" fillId="5" borderId="1" xfId="0" applyFont="1" applyFill="1" applyBorder="1"/>
    <xf numFmtId="164" fontId="17" fillId="5" borderId="1" xfId="0" applyNumberFormat="1" applyFont="1" applyFill="1" applyBorder="1"/>
    <xf numFmtId="0" fontId="18" fillId="0" borderId="1" xfId="0" applyFont="1" applyBorder="1"/>
    <xf numFmtId="14" fontId="0" fillId="0" borderId="0" xfId="0" applyNumberFormat="1" applyAlignment="1">
      <alignment horizontal="left"/>
    </xf>
    <xf numFmtId="14" fontId="7" fillId="0" borderId="0" xfId="0" applyNumberFormat="1" applyFont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9" fillId="0" borderId="0" xfId="0" applyFont="1"/>
    <xf numFmtId="165" fontId="7" fillId="0" borderId="0" xfId="0" applyNumberFormat="1" applyFont="1" applyAlignment="1">
      <alignment horizontal="left"/>
    </xf>
    <xf numFmtId="0" fontId="16" fillId="10" borderId="4" xfId="0" applyFont="1" applyFill="1" applyBorder="1"/>
    <xf numFmtId="0" fontId="16" fillId="10" borderId="6" xfId="0" applyFont="1" applyFill="1" applyBorder="1" applyAlignment="1">
      <alignment horizontal="center"/>
    </xf>
    <xf numFmtId="0" fontId="7" fillId="12" borderId="7" xfId="0" applyFont="1" applyFill="1" applyBorder="1"/>
    <xf numFmtId="0" fontId="7" fillId="11" borderId="7" xfId="0" applyFont="1" applyFill="1" applyBorder="1"/>
    <xf numFmtId="166" fontId="7" fillId="11" borderId="5" xfId="0" applyNumberFormat="1" applyFont="1" applyFill="1" applyBorder="1" applyAlignment="1">
      <alignment horizontal="left"/>
    </xf>
    <xf numFmtId="166" fontId="5" fillId="11" borderId="5" xfId="0" applyNumberFormat="1" applyFont="1" applyFill="1" applyBorder="1" applyAlignment="1">
      <alignment horizontal="left"/>
    </xf>
    <xf numFmtId="0" fontId="5" fillId="11" borderId="7" xfId="0" applyFont="1" applyFill="1" applyBorder="1"/>
    <xf numFmtId="0" fontId="19" fillId="0" borderId="0" xfId="0" applyFont="1" applyAlignment="1">
      <alignment horizontal="center"/>
    </xf>
    <xf numFmtId="0" fontId="0" fillId="0" borderId="0" xfId="0" applyAlignment="1">
      <alignment horizontal="left"/>
    </xf>
    <xf numFmtId="3" fontId="7" fillId="0" borderId="0" xfId="0" applyNumberFormat="1" applyFont="1"/>
    <xf numFmtId="8" fontId="5" fillId="0" borderId="0" xfId="0" applyNumberFormat="1" applyFont="1"/>
    <xf numFmtId="3" fontId="7" fillId="0" borderId="1" xfId="0" applyNumberFormat="1" applyFont="1" applyBorder="1"/>
    <xf numFmtId="3" fontId="7" fillId="0" borderId="0" xfId="0" applyNumberFormat="1" applyFont="1" applyAlignment="1">
      <alignment horizontal="right"/>
    </xf>
    <xf numFmtId="3" fontId="7" fillId="0" borderId="2" xfId="0" applyNumberFormat="1" applyFont="1" applyBorder="1"/>
    <xf numFmtId="4" fontId="7" fillId="0" borderId="2" xfId="0" applyNumberFormat="1" applyFont="1" applyBorder="1"/>
    <xf numFmtId="9" fontId="7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3" fontId="5" fillId="0" borderId="1" xfId="0" applyNumberFormat="1" applyFont="1" applyBorder="1"/>
    <xf numFmtId="4" fontId="20" fillId="0" borderId="0" xfId="0" applyNumberFormat="1" applyFont="1"/>
    <xf numFmtId="4" fontId="5" fillId="0" borderId="0" xfId="0" applyNumberFormat="1" applyFont="1"/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3" fontId="5" fillId="7" borderId="0" xfId="0" applyNumberFormat="1" applyFont="1" applyFill="1"/>
    <xf numFmtId="4" fontId="5" fillId="7" borderId="0" xfId="0" applyNumberFormat="1" applyFont="1" applyFill="1"/>
    <xf numFmtId="4" fontId="0" fillId="0" borderId="0" xfId="0" applyNumberFormat="1"/>
    <xf numFmtId="4" fontId="5" fillId="0" borderId="2" xfId="0" applyNumberFormat="1" applyFont="1" applyBorder="1"/>
    <xf numFmtId="0" fontId="5" fillId="0" borderId="2" xfId="0" applyFont="1" applyBorder="1"/>
    <xf numFmtId="4" fontId="20" fillId="0" borderId="2" xfId="0" applyNumberFormat="1" applyFont="1" applyBorder="1"/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wrapText="1"/>
    </xf>
    <xf numFmtId="4" fontId="21" fillId="0" borderId="8" xfId="0" applyNumberFormat="1" applyFont="1" applyBorder="1"/>
    <xf numFmtId="4" fontId="5" fillId="0" borderId="9" xfId="0" applyNumberFormat="1" applyFont="1" applyBorder="1"/>
    <xf numFmtId="4" fontId="21" fillId="0" borderId="10" xfId="0" applyNumberFormat="1" applyFont="1" applyBorder="1"/>
    <xf numFmtId="4" fontId="20" fillId="0" borderId="11" xfId="0" applyNumberFormat="1" applyFont="1" applyBorder="1"/>
    <xf numFmtId="0" fontId="5" fillId="0" borderId="11" xfId="0" applyFont="1" applyBorder="1"/>
    <xf numFmtId="4" fontId="5" fillId="0" borderId="11" xfId="0" applyNumberFormat="1" applyFont="1" applyBorder="1"/>
    <xf numFmtId="0" fontId="5" fillId="0" borderId="11" xfId="0" applyFont="1" applyBorder="1" applyAlignment="1">
      <alignment wrapText="1"/>
    </xf>
    <xf numFmtId="0" fontId="5" fillId="0" borderId="13" xfId="0" applyFont="1" applyBorder="1"/>
    <xf numFmtId="0" fontId="13" fillId="0" borderId="14" xfId="0" applyFont="1" applyBorder="1" applyAlignment="1">
      <alignment horizontal="center"/>
    </xf>
    <xf numFmtId="0" fontId="5" fillId="0" borderId="15" xfId="0" applyFont="1" applyBorder="1"/>
    <xf numFmtId="4" fontId="5" fillId="0" borderId="16" xfId="0" applyNumberFormat="1" applyFont="1" applyBorder="1"/>
    <xf numFmtId="0" fontId="7" fillId="0" borderId="8" xfId="0" applyFont="1" applyBorder="1"/>
    <xf numFmtId="0" fontId="5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22" fillId="0" borderId="0" xfId="0" applyFont="1" applyAlignment="1">
      <alignment horizontal="center"/>
    </xf>
    <xf numFmtId="0" fontId="22" fillId="0" borderId="2" xfId="0" applyFont="1" applyBorder="1" applyAlignment="1">
      <alignment horizontal="center"/>
    </xf>
    <xf numFmtId="4" fontId="21" fillId="0" borderId="12" xfId="0" applyNumberFormat="1" applyFont="1" applyBorder="1"/>
    <xf numFmtId="8" fontId="5" fillId="0" borderId="1" xfId="0" applyNumberFormat="1" applyFont="1" applyBorder="1"/>
    <xf numFmtId="4" fontId="23" fillId="0" borderId="0" xfId="0" applyNumberFormat="1" applyFont="1"/>
    <xf numFmtId="4" fontId="20" fillId="0" borderId="0" xfId="0" applyNumberFormat="1" applyFont="1" applyAlignment="1">
      <alignment horizontal="right"/>
    </xf>
    <xf numFmtId="4" fontId="21" fillId="0" borderId="0" xfId="0" applyNumberFormat="1" applyFont="1"/>
    <xf numFmtId="0" fontId="3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84">
    <dxf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m/d/yyyy"/>
      <alignment horizontal="left" vertical="bottom" textRotation="0" wrapText="0" indent="0" justifyLastLine="0" shrinkToFit="0" readingOrder="0"/>
    </dxf>
    <dxf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m/d/yyyy"/>
      <alignment horizontal="left" vertical="bottom" textRotation="0" wrapText="0" indent="0" justifyLastLine="0" shrinkToFit="0" readingOrder="0"/>
    </dxf>
    <dxf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m/d/yyyy"/>
      <alignment horizontal="left" vertical="bottom" textRotation="0" wrapText="0" indent="0" justifyLastLine="0" shrinkToFit="0" readingOrder="0"/>
    </dxf>
    <dxf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mmmm\-yy;@"/>
      <alignment horizontal="left" vertical="bottom" textRotation="0" wrapText="0" indent="0" justifyLastLine="0" shrinkToFit="0" readingOrder="0"/>
    </dxf>
    <dxf>
      <font>
        <color auto="1"/>
      </font>
      <numFmt numFmtId="165" formatCode="[$-409]mmmm\-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color auto="1"/>
      </font>
      <numFmt numFmtId="165" formatCode="[$-409]mmmm\-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mmmm\-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mmmm\-yy;@"/>
      <alignment horizontal="left" vertical="bottom" textRotation="0" wrapText="0" indent="0" justifyLastLine="0" shrinkToFit="0" readingOrder="0"/>
    </dxf>
    <dxf>
      <font>
        <color auto="1"/>
      </font>
      <numFmt numFmtId="165" formatCode="[$-409]mmmm\-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color auto="1"/>
      </font>
      <numFmt numFmtId="165" formatCode="[$-409]mmmm\-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mmmm\-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mmmm\-yy;@"/>
      <alignment horizontal="left" vertical="bottom" textRotation="0" wrapText="0" indent="0" justifyLastLine="0" shrinkToFit="0" readingOrder="0"/>
    </dxf>
    <dxf>
      <font>
        <color auto="1"/>
      </font>
      <numFmt numFmtId="165" formatCode="[$-409]mmmm\-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color auto="1"/>
      </font>
      <numFmt numFmtId="165" formatCode="[$-409]mmmm\-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mmmm\-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mmmm\-yy;@"/>
      <alignment horizontal="left" vertical="bottom" textRotation="0" wrapText="0" indent="0" justifyLastLine="0" shrinkToFit="0" readingOrder="0"/>
    </dxf>
    <dxf>
      <font>
        <color auto="1"/>
      </font>
      <numFmt numFmtId="165" formatCode="[$-409]mmmm\-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color auto="1"/>
      </font>
      <numFmt numFmtId="165" formatCode="[$-409]mmmm\-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mmmm\-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mmmm\-yy;@"/>
      <alignment horizontal="left" vertical="bottom" textRotation="0" wrapText="0" indent="0" justifyLastLine="0" shrinkToFit="0" readingOrder="0"/>
    </dxf>
    <dxf>
      <font>
        <color auto="1"/>
      </font>
      <numFmt numFmtId="165" formatCode="[$-409]mmmm\-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color auto="1"/>
      </font>
      <numFmt numFmtId="165" formatCode="[$-409]mmmm\-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409]mmmm\-yy;@"/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0000000}" name="Table3914192422303438" displayName="Table3914192422303438" ref="A46:B54" totalsRowShown="0">
  <autoFilter ref="A46:B54" xr:uid="{00000000-0009-0000-0100-000025000000}"/>
  <tableColumns count="2">
    <tableColumn id="1" xr3:uid="{00000000-0010-0000-0000-000001000000}" name="US Bank Loan Payoff Schedule: " dataDxfId="83"/>
    <tableColumn id="2" xr3:uid="{00000000-0010-0000-0000-000002000000}" name="11293.76" dataDxfId="8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01000000}" name="Table41015202527313539" displayName="Table41015202527313539" ref="A57:B61" totalsRowShown="0" headerRowDxfId="81">
  <autoFilter ref="A57:B61" xr:uid="{00000000-0009-0000-0100-000026000000}"/>
  <tableColumns count="2">
    <tableColumn id="1" xr3:uid="{00000000-0010-0000-0100-000001000000}" name="Nelnet Student Loan(lauren)" dataDxfId="80"/>
    <tableColumn id="2" xr3:uid="{00000000-0010-0000-0100-000002000000}" name="11395.23" dataDxfId="7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2000000}" name="Table51116212628323640" displayName="Table51116212628323640" ref="A63:B80" totalsRowShown="0">
  <autoFilter ref="A63:B80" xr:uid="{00000000-0009-0000-0100-000027000000}"/>
  <tableColumns count="2">
    <tableColumn id="1" xr3:uid="{00000000-0010-0000-0200-000001000000}" name="Sofi Mohela Student Loan(Brian)" dataDxfId="78"/>
    <tableColumn id="2" xr3:uid="{00000000-0010-0000-0200-000002000000}" name="58185.2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03000000}" name="Table2813182329333741" displayName="Table2813182329333741" ref="A40:B44" totalsRowShown="0">
  <autoFilter ref="A40:B44" xr:uid="{00000000-0009-0000-0100-000028000000}"/>
  <tableColumns count="2">
    <tableColumn id="1" xr3:uid="{00000000-0010-0000-0300-000001000000}" name="American Express Payoff Schedule:" dataDxfId="77"/>
    <tableColumn id="2" xr3:uid="{00000000-0010-0000-0300-000002000000}" name="5933.76" dataDxfId="7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4000000}" name="Table39141924223034" displayName="Table39141924223034" ref="A46:B54" totalsRowShown="0">
  <autoFilter ref="A46:B54" xr:uid="{00000000-0009-0000-0100-000021000000}"/>
  <tableColumns count="2">
    <tableColumn id="1" xr3:uid="{00000000-0010-0000-0400-000001000000}" name="US Bank Loan Payoff Schedule: " dataDxfId="75"/>
    <tableColumn id="2" xr3:uid="{00000000-0010-0000-0400-000002000000}" name="11293.76" dataDxfId="7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5000000}" name="Table410152025273135" displayName="Table410152025273135" ref="A57:B61" totalsRowShown="0" headerRowDxfId="73">
  <autoFilter ref="A57:B61" xr:uid="{00000000-0009-0000-0100-000022000000}"/>
  <tableColumns count="2">
    <tableColumn id="1" xr3:uid="{00000000-0010-0000-0500-000001000000}" name="Nelnet Student Loan(lauren)" dataDxfId="72"/>
    <tableColumn id="2" xr3:uid="{00000000-0010-0000-0500-000002000000}" name="11395.23" dataDxfId="7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6000000}" name="Table511162126283236" displayName="Table511162126283236" ref="A63:B80" totalsRowShown="0">
  <autoFilter ref="A63:B80" xr:uid="{00000000-0009-0000-0100-000023000000}"/>
  <tableColumns count="2">
    <tableColumn id="1" xr3:uid="{00000000-0010-0000-0600-000001000000}" name="Sofi Mohela Student Loan(Brian)" dataDxfId="70"/>
    <tableColumn id="2" xr3:uid="{00000000-0010-0000-0600-000002000000}" name="58185.21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7000000}" name="Table28131823293337" displayName="Table28131823293337" ref="A40:B44" totalsRowShown="0">
  <autoFilter ref="A40:B44" xr:uid="{00000000-0009-0000-0100-000024000000}"/>
  <tableColumns count="2">
    <tableColumn id="1" xr3:uid="{00000000-0010-0000-0700-000001000000}" name="American Express Payoff Schedule:" dataDxfId="69"/>
    <tableColumn id="2" xr3:uid="{00000000-0010-0000-0700-000002000000}" name="5933.76" dataDxfId="68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8000000}" name="Table391419242230" displayName="Table391419242230" ref="A47:B55" totalsRowShown="0">
  <autoFilter ref="A47:B55" xr:uid="{00000000-0009-0000-0100-00001D000000}"/>
  <tableColumns count="2">
    <tableColumn id="1" xr3:uid="{00000000-0010-0000-0800-000001000000}" name="US Bank Loan Payoff Schedule: " dataDxfId="67"/>
    <tableColumn id="2" xr3:uid="{00000000-0010-0000-0800-000002000000}" name="11293.76" dataDxfId="66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9000000}" name="Table4101520252731" displayName="Table4101520252731" ref="A58:B62" totalsRowShown="0" headerRowDxfId="65">
  <autoFilter ref="A58:B62" xr:uid="{00000000-0009-0000-0100-00001E000000}"/>
  <tableColumns count="2">
    <tableColumn id="1" xr3:uid="{00000000-0010-0000-0900-000001000000}" name="Nelnet Student Loan(lauren)" dataDxfId="64"/>
    <tableColumn id="2" xr3:uid="{00000000-0010-0000-0900-000002000000}" name="11395.23" dataDxfId="63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A000000}" name="Table5111621262832" displayName="Table5111621262832" ref="A64:B81" totalsRowShown="0">
  <autoFilter ref="A64:B81" xr:uid="{00000000-0009-0000-0100-00001F000000}"/>
  <tableColumns count="2">
    <tableColumn id="1" xr3:uid="{00000000-0010-0000-0A00-000001000000}" name="Sofi Mohela Student Loan(Brian)" dataDxfId="62"/>
    <tableColumn id="2" xr3:uid="{00000000-0010-0000-0A00-000002000000}" name="58185.21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B000000}" name="Table281318232933" displayName="Table281318232933" ref="A41:B45" totalsRowShown="0">
  <autoFilter ref="A41:B45" xr:uid="{00000000-0009-0000-0100-000020000000}"/>
  <tableColumns count="2">
    <tableColumn id="1" xr3:uid="{00000000-0010-0000-0B00-000001000000}" name="American Express Payoff Schedule:" dataDxfId="61"/>
    <tableColumn id="2" xr3:uid="{00000000-0010-0000-0B00-000002000000}" name="5933.76" dataDxfId="60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C000000}" name="Table3914192422" displayName="Table3914192422" ref="A47:B55" totalsRowShown="0">
  <autoFilter ref="A47:B55" xr:uid="{00000000-0009-0000-0100-000015000000}"/>
  <tableColumns count="2">
    <tableColumn id="1" xr3:uid="{00000000-0010-0000-0C00-000001000000}" name="US Bank Loan Payoff Schedule: " dataDxfId="59"/>
    <tableColumn id="2" xr3:uid="{00000000-0010-0000-0C00-000002000000}" name="11293.76" dataDxfId="58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D000000}" name="Table41015202527" displayName="Table41015202527" ref="A58:B62" totalsRowShown="0" headerRowDxfId="57">
  <autoFilter ref="A58:B62" xr:uid="{00000000-0009-0000-0100-00001A000000}"/>
  <tableColumns count="2">
    <tableColumn id="1" xr3:uid="{00000000-0010-0000-0D00-000001000000}" name="Nelnet Student Loan(lauren)" dataDxfId="56"/>
    <tableColumn id="2" xr3:uid="{00000000-0010-0000-0D00-000002000000}" name="11395.23" dataDxfId="55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E000000}" name="Table51116212628" displayName="Table51116212628" ref="A64:B81" totalsRowShown="0">
  <autoFilter ref="A64:B81" xr:uid="{00000000-0009-0000-0100-00001B000000}"/>
  <tableColumns count="2">
    <tableColumn id="1" xr3:uid="{00000000-0010-0000-0E00-000001000000}" name="Sofi Mohela Student Loan(Brian)" dataDxfId="54"/>
    <tableColumn id="2" xr3:uid="{00000000-0010-0000-0E00-000002000000}" name="58185.21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F000000}" name="Table2813182329" displayName="Table2813182329" ref="A41:B45" totalsRowShown="0">
  <autoFilter ref="A41:B45" xr:uid="{00000000-0009-0000-0100-00001C000000}"/>
  <tableColumns count="2">
    <tableColumn id="1" xr3:uid="{00000000-0010-0000-0F00-000001000000}" name="American Express Payoff Schedule:" dataDxfId="53"/>
    <tableColumn id="2" xr3:uid="{00000000-0010-0000-0F00-000002000000}" name="5933.76" dataDxfId="52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0000000}" name="Table39141924" displayName="Table39141924" ref="A47:B55" totalsRowShown="0">
  <autoFilter ref="A47:B55" xr:uid="{00000000-0009-0000-0100-000017000000}"/>
  <tableColumns count="2">
    <tableColumn id="1" xr3:uid="{00000000-0010-0000-1000-000001000000}" name="US Bank Loan Payoff Schedule: " dataDxfId="51"/>
    <tableColumn id="2" xr3:uid="{00000000-0010-0000-1000-000002000000}" name="11293.76" dataDxfId="50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1000000}" name="Table410152025" displayName="Table410152025" ref="A58:B62" totalsRowShown="0" headerRowDxfId="49">
  <autoFilter ref="A58:B62" xr:uid="{00000000-0009-0000-0100-000018000000}"/>
  <tableColumns count="2">
    <tableColumn id="1" xr3:uid="{00000000-0010-0000-1100-000001000000}" name="Nelnet Student Loan(lauren)" dataDxfId="48"/>
    <tableColumn id="2" xr3:uid="{00000000-0010-0000-1100-000002000000}" name="11395.23" dataDxfId="47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2000000}" name="Table511162126" displayName="Table511162126" ref="A64:B81" totalsRowShown="0">
  <autoFilter ref="A64:B81" xr:uid="{00000000-0009-0000-0100-000019000000}"/>
  <tableColumns count="2">
    <tableColumn id="1" xr3:uid="{00000000-0010-0000-1200-000001000000}" name="Sofi Mohela Student Loan(Brian)" dataDxfId="46"/>
    <tableColumn id="2" xr3:uid="{00000000-0010-0000-1200-000002000000}" name="58185.21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3000000}" name="Table28131823" displayName="Table28131823" ref="A41:B45" totalsRowShown="0">
  <autoFilter ref="A41:B45" xr:uid="{00000000-0009-0000-0100-000016000000}"/>
  <tableColumns count="2">
    <tableColumn id="1" xr3:uid="{00000000-0010-0000-1300-000001000000}" name="American Express Payoff Schedule:" dataDxfId="45"/>
    <tableColumn id="2" xr3:uid="{00000000-0010-0000-1300-000002000000}" name="5933.76" dataDxfId="44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4000000}" name="Table171217" displayName="Table171217" ref="A33:C44" totalsRowShown="0">
  <autoFilter ref="A33:C44" xr:uid="{00000000-0009-0000-0100-000010000000}"/>
  <tableColumns count="3">
    <tableColumn id="1" xr3:uid="{00000000-0010-0000-1400-000001000000}" name="Citi Card Payoff Schedule:" dataDxfId="43"/>
    <tableColumn id="2" xr3:uid="{00000000-0010-0000-1400-000002000000}" name="10721.16" dataDxfId="42"/>
    <tableColumn id="3" xr3:uid="{00000000-0010-0000-1400-000003000000}" name="10721.17" dataDxfId="41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5000000}" name="Table281318" displayName="Table281318" ref="A46:B52" totalsRowShown="0">
  <autoFilter ref="A46:B52" xr:uid="{00000000-0009-0000-0100-000011000000}"/>
  <tableColumns count="2">
    <tableColumn id="1" xr3:uid="{00000000-0010-0000-1500-000001000000}" name="American Express Payoff Schedule:" dataDxfId="40"/>
    <tableColumn id="2" xr3:uid="{00000000-0010-0000-1500-000002000000}" name="5933.76" dataDxfId="39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6000000}" name="Table391419" displayName="Table391419" ref="A54:B62" totalsRowShown="0">
  <autoFilter ref="A54:B62" xr:uid="{00000000-0009-0000-0100-000012000000}"/>
  <tableColumns count="2">
    <tableColumn id="1" xr3:uid="{00000000-0010-0000-1600-000001000000}" name="US Bank Loan Payoff Schedule: " dataDxfId="38"/>
    <tableColumn id="2" xr3:uid="{00000000-0010-0000-1600-000002000000}" name="11293.76" dataDxfId="37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7000000}" name="Table4101520" displayName="Table4101520" ref="A67:B73" totalsRowShown="0" headerRowDxfId="36">
  <autoFilter ref="A67:B73" xr:uid="{00000000-0009-0000-0100-000013000000}"/>
  <tableColumns count="2">
    <tableColumn id="1" xr3:uid="{00000000-0010-0000-1700-000001000000}" name="Nelnet Student Loan(lauren)" dataDxfId="35"/>
    <tableColumn id="2" xr3:uid="{00000000-0010-0000-1700-000002000000}" name="11395.23" dataDxfId="34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8000000}" name="Table5111621" displayName="Table5111621" ref="A75:B99" totalsRowShown="0">
  <autoFilter ref="A75:B99" xr:uid="{00000000-0009-0000-0100-000014000000}"/>
  <tableColumns count="2">
    <tableColumn id="1" xr3:uid="{00000000-0010-0000-1800-000001000000}" name="Sofi Mohela Student Loan(Brian)" dataDxfId="33"/>
    <tableColumn id="2" xr3:uid="{00000000-0010-0000-1800-000002000000}" name="58185.21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9000000}" name="Table1712" displayName="Table1712" ref="A33:C45" totalsRowShown="0">
  <autoFilter ref="A33:C45" xr:uid="{00000000-0009-0000-0100-00000B000000}"/>
  <tableColumns count="3">
    <tableColumn id="1" xr3:uid="{00000000-0010-0000-1900-000001000000}" name="Citi Card Payoff Schedule:" dataDxfId="32"/>
    <tableColumn id="2" xr3:uid="{00000000-0010-0000-1900-000002000000}" name="10721.16" dataDxfId="31"/>
    <tableColumn id="3" xr3:uid="{00000000-0010-0000-1900-000003000000}" name="10721.17" dataDxfId="30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A000000}" name="Table2813" displayName="Table2813" ref="A47:B53" totalsRowShown="0">
  <autoFilter ref="A47:B53" xr:uid="{00000000-0009-0000-0100-00000C000000}"/>
  <tableColumns count="2">
    <tableColumn id="1" xr3:uid="{00000000-0010-0000-1A00-000001000000}" name="American Express Payoff Schedule:" dataDxfId="29"/>
    <tableColumn id="2" xr3:uid="{00000000-0010-0000-1A00-000002000000}" name="5933.76" dataDxfId="28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B000000}" name="Table3914" displayName="Table3914" ref="A55:B63" totalsRowShown="0">
  <autoFilter ref="A55:B63" xr:uid="{00000000-0009-0000-0100-00000D000000}"/>
  <tableColumns count="2">
    <tableColumn id="1" xr3:uid="{00000000-0010-0000-1B00-000001000000}" name="US Bank Loan Payoff Schedule: " dataDxfId="27"/>
    <tableColumn id="2" xr3:uid="{00000000-0010-0000-1B00-000002000000}" name="11293.76" dataDxfId="26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C000000}" name="Table41015" displayName="Table41015" ref="A68:B74" totalsRowShown="0" headerRowDxfId="25">
  <autoFilter ref="A68:B74" xr:uid="{00000000-0009-0000-0100-00000E000000}"/>
  <tableColumns count="2">
    <tableColumn id="1" xr3:uid="{00000000-0010-0000-1C00-000001000000}" name="Nelnet Student Loan(lauren)" dataDxfId="24"/>
    <tableColumn id="2" xr3:uid="{00000000-0010-0000-1C00-000002000000}" name="11395.23" dataDxfId="23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D000000}" name="Table51116" displayName="Table51116" ref="A76:B100" totalsRowShown="0">
  <autoFilter ref="A76:B100" xr:uid="{00000000-0009-0000-0100-00000F000000}"/>
  <tableColumns count="2">
    <tableColumn id="1" xr3:uid="{00000000-0010-0000-1D00-000001000000}" name="Sofi Mohela Student Loan(Brian)" dataDxfId="22"/>
    <tableColumn id="2" xr3:uid="{00000000-0010-0000-1D00-000002000000}" name="58185.21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E000000}" name="Table17" displayName="Table17" ref="A31:C43" totalsRowShown="0">
  <autoFilter ref="A31:C43" xr:uid="{00000000-0009-0000-0100-000006000000}"/>
  <tableColumns count="3">
    <tableColumn id="1" xr3:uid="{00000000-0010-0000-1E00-000001000000}" name="Citi Card Payoff Schedule:" dataDxfId="21"/>
    <tableColumn id="2" xr3:uid="{00000000-0010-0000-1E00-000002000000}" name="10721.16" dataDxfId="20"/>
    <tableColumn id="3" xr3:uid="{00000000-0010-0000-1E00-000003000000}" name="10721.17" dataDxfId="19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F000000}" name="Table28" displayName="Table28" ref="A45:B51" totalsRowShown="0">
  <autoFilter ref="A45:B51" xr:uid="{00000000-0009-0000-0100-000007000000}"/>
  <tableColumns count="2">
    <tableColumn id="1" xr3:uid="{00000000-0010-0000-1F00-000001000000}" name="American Express Payoff Schedule:" dataDxfId="18"/>
    <tableColumn id="2" xr3:uid="{00000000-0010-0000-1F00-000002000000}" name="5933.76" dataDxfId="17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20000000}" name="Table39" displayName="Table39" ref="A53:B61" totalsRowShown="0">
  <autoFilter ref="A53:B61" xr:uid="{00000000-0009-0000-0100-000008000000}"/>
  <tableColumns count="2">
    <tableColumn id="1" xr3:uid="{00000000-0010-0000-2000-000001000000}" name="US Bank Loan Payoff Schedule: " dataDxfId="16"/>
    <tableColumn id="2" xr3:uid="{00000000-0010-0000-2000-000002000000}" name="11293.76" dataDxfId="15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21000000}" name="Table410" displayName="Table410" ref="A66:B72" totalsRowShown="0" headerRowDxfId="14">
  <autoFilter ref="A66:B72" xr:uid="{00000000-0009-0000-0100-000009000000}"/>
  <tableColumns count="2">
    <tableColumn id="1" xr3:uid="{00000000-0010-0000-2100-000001000000}" name="Nelnet Student Loan(lauren)" dataDxfId="13"/>
    <tableColumn id="2" xr3:uid="{00000000-0010-0000-2100-000002000000}" name="11395.23" dataDxfId="12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22000000}" name="Table511" displayName="Table511" ref="A74:B98" totalsRowShown="0">
  <autoFilter ref="A74:B98" xr:uid="{00000000-0009-0000-0100-00000A000000}"/>
  <tableColumns count="2">
    <tableColumn id="1" xr3:uid="{00000000-0010-0000-2200-000001000000}" name="Sofi Mohela Student Loan(Brian)" dataDxfId="11"/>
    <tableColumn id="2" xr3:uid="{00000000-0010-0000-2200-000002000000}" name="58185.21"/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23000000}" name="Table1" displayName="Table1" ref="A31:C43" totalsRowShown="0">
  <autoFilter ref="A31:C43" xr:uid="{00000000-0009-0000-0100-000001000000}"/>
  <tableColumns count="3">
    <tableColumn id="1" xr3:uid="{00000000-0010-0000-2300-000001000000}" name="Citi Card Payoff Schedule:" dataDxfId="10"/>
    <tableColumn id="2" xr3:uid="{00000000-0010-0000-2300-000002000000}" name="10721.16" dataDxfId="9"/>
    <tableColumn id="3" xr3:uid="{00000000-0010-0000-2300-000003000000}" name="10721.17" dataDxfId="8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24000000}" name="Table2" displayName="Table2" ref="A45:B51" totalsRowShown="0">
  <autoFilter ref="A45:B51" xr:uid="{00000000-0009-0000-0100-000002000000}"/>
  <tableColumns count="2">
    <tableColumn id="1" xr3:uid="{00000000-0010-0000-2400-000001000000}" name="American Express Payoff Schedule:" dataDxfId="7"/>
    <tableColumn id="2" xr3:uid="{00000000-0010-0000-2400-000002000000}" name="5933.76" dataDxfId="6"/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25000000}" name="Table3" displayName="Table3" ref="A53:B61" totalsRowShown="0">
  <autoFilter ref="A53:B61" xr:uid="{00000000-0009-0000-0100-000003000000}"/>
  <tableColumns count="2">
    <tableColumn id="1" xr3:uid="{00000000-0010-0000-2500-000001000000}" name="US Bank Loan Payoff Schedule: " dataDxfId="5"/>
    <tableColumn id="2" xr3:uid="{00000000-0010-0000-2500-000002000000}" name="11293.76" dataDxfId="4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26000000}" name="Table4" displayName="Table4" ref="A66:B72" totalsRowShown="0" headerRowDxfId="3">
  <autoFilter ref="A66:B72" xr:uid="{00000000-0009-0000-0100-000004000000}"/>
  <tableColumns count="2">
    <tableColumn id="1" xr3:uid="{00000000-0010-0000-2600-000001000000}" name="Nelnet Student Loan(lauren)" dataDxfId="2"/>
    <tableColumn id="2" xr3:uid="{00000000-0010-0000-2600-000002000000}" name="11513.13" dataDxfId="1"/>
  </tableColumns>
  <tableStyleInfo name="TableStyleMedium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27000000}" name="Table5" displayName="Table5" ref="A74:B98" totalsRowShown="0">
  <autoFilter ref="A74:B98" xr:uid="{00000000-0009-0000-0100-000005000000}"/>
  <tableColumns count="2">
    <tableColumn id="1" xr3:uid="{00000000-0010-0000-2700-000001000000}" name="Sofi Mohela Student Loan(Brian)" dataDxfId="0"/>
    <tableColumn id="2" xr3:uid="{00000000-0010-0000-2700-000002000000}" name="58185.2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7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8.bin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39.bin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40.bin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41.bin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42.bin"/><Relationship Id="rId6" Type="http://schemas.openxmlformats.org/officeDocument/2006/relationships/table" Target="../tables/table25.xml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43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44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45.bin"/><Relationship Id="rId6" Type="http://schemas.openxmlformats.org/officeDocument/2006/relationships/table" Target="../tables/table40.xml"/><Relationship Id="rId5" Type="http://schemas.openxmlformats.org/officeDocument/2006/relationships/table" Target="../tables/table39.xml"/><Relationship Id="rId4" Type="http://schemas.openxmlformats.org/officeDocument/2006/relationships/table" Target="../tables/table38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0D92-FD8C-4C5C-A16D-04F2964A14A1}">
  <dimension ref="A1:K72"/>
  <sheetViews>
    <sheetView workbookViewId="0">
      <selection activeCell="D19" sqref="D19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705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3796.66</v>
      </c>
      <c r="C3" s="51">
        <v>3796.66</v>
      </c>
      <c r="F3" s="33">
        <f>B3+B4</f>
        <v>3796.66</v>
      </c>
      <c r="G3" s="27">
        <f>C9+C10+C11+C12+C13+C14+C15</f>
        <v>3528.31</v>
      </c>
      <c r="H3" s="27">
        <f>F3-G3</f>
        <v>268.34999999999991</v>
      </c>
    </row>
    <row r="4" spans="1:11" x14ac:dyDescent="0.2">
      <c r="A4" s="26" t="s">
        <v>265</v>
      </c>
      <c r="B4" s="51"/>
      <c r="C4" s="51"/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3796.66</v>
      </c>
      <c r="G6" s="27">
        <f>C18+C19+C20+C21+C22+C23</f>
        <v>1679.22</v>
      </c>
      <c r="H6" s="27">
        <f>F6-G6</f>
        <v>2117.4399999999996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5" t="s">
        <v>652</v>
      </c>
      <c r="B9" s="25" t="s">
        <v>389</v>
      </c>
      <c r="C9" s="33">
        <v>2271.33</v>
      </c>
      <c r="D9" s="26"/>
      <c r="F9" s="26"/>
      <c r="H9" s="26"/>
      <c r="I9" s="26"/>
      <c r="J9" s="45"/>
    </row>
    <row r="10" spans="1:11" s="24" customFormat="1" x14ac:dyDescent="0.2">
      <c r="A10" s="25" t="s">
        <v>675</v>
      </c>
      <c r="B10" s="25" t="s">
        <v>389</v>
      </c>
      <c r="C10" s="33">
        <v>64.989999999999995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5" t="s">
        <v>706</v>
      </c>
      <c r="B11" s="25" t="s">
        <v>394</v>
      </c>
      <c r="C11" s="27">
        <v>110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5" t="s">
        <v>633</v>
      </c>
      <c r="B12" s="25" t="s">
        <v>518</v>
      </c>
      <c r="C12" s="27">
        <v>542.02</v>
      </c>
      <c r="D12" s="26"/>
      <c r="F12" s="25">
        <f>(H3+H6)/2</f>
        <v>1192.8949999999998</v>
      </c>
      <c r="G12" s="26"/>
      <c r="H12" s="26"/>
      <c r="I12" s="26"/>
      <c r="K12" s="45"/>
    </row>
    <row r="13" spans="1:11" s="24" customFormat="1" x14ac:dyDescent="0.2">
      <c r="A13" s="25" t="s">
        <v>626</v>
      </c>
      <c r="B13" s="25" t="s">
        <v>398</v>
      </c>
      <c r="C13" s="27">
        <v>165.33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5" t="s">
        <v>651</v>
      </c>
      <c r="B14" s="25" t="s">
        <v>523</v>
      </c>
      <c r="C14" s="27">
        <v>8.5500000000000007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5" t="s">
        <v>687</v>
      </c>
      <c r="B15" s="25" t="s">
        <v>400</v>
      </c>
      <c r="C15" s="27">
        <v>366.09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9"/>
      <c r="B16" s="29"/>
      <c r="C16" s="30"/>
      <c r="D16" s="26"/>
      <c r="F16" s="26"/>
      <c r="I16" s="26"/>
      <c r="J16" s="66"/>
      <c r="K16" s="45"/>
    </row>
    <row r="17" spans="1:11" s="24" customFormat="1" x14ac:dyDescent="0.2">
      <c r="A17" s="32" t="s">
        <v>13</v>
      </c>
      <c r="B17" s="25"/>
      <c r="C17" s="27"/>
      <c r="D17" s="26"/>
      <c r="F17" s="26"/>
      <c r="I17" s="26"/>
      <c r="J17" s="66"/>
      <c r="K17" s="45"/>
    </row>
    <row r="18" spans="1:11" s="24" customFormat="1" x14ac:dyDescent="0.2">
      <c r="A18" s="25" t="s">
        <v>694</v>
      </c>
      <c r="B18" s="25" t="s">
        <v>448</v>
      </c>
      <c r="C18" s="27">
        <v>710.16</v>
      </c>
      <c r="D18" s="90"/>
      <c r="F18" s="26"/>
      <c r="I18" s="26"/>
      <c r="J18" s="26"/>
      <c r="K18" s="26"/>
    </row>
    <row r="19" spans="1:11" s="24" customFormat="1" x14ac:dyDescent="0.2">
      <c r="A19" s="25" t="s">
        <v>267</v>
      </c>
      <c r="B19" s="25" t="s">
        <v>404</v>
      </c>
      <c r="C19" s="58">
        <v>47.1</v>
      </c>
      <c r="D19" s="26"/>
      <c r="F19" s="26"/>
      <c r="I19" s="26"/>
      <c r="J19" s="26"/>
      <c r="K19" s="26"/>
    </row>
    <row r="20" spans="1:11" s="24" customFormat="1" x14ac:dyDescent="0.2">
      <c r="A20" s="25" t="s">
        <v>79</v>
      </c>
      <c r="B20" s="25" t="s">
        <v>390</v>
      </c>
      <c r="C20" s="27">
        <v>243.86</v>
      </c>
      <c r="D20" s="26"/>
      <c r="F20" s="51"/>
      <c r="I20" s="26"/>
      <c r="J20" s="26"/>
      <c r="K20" s="26"/>
    </row>
    <row r="21" spans="1:11" s="24" customFormat="1" x14ac:dyDescent="0.2">
      <c r="A21" s="25" t="s">
        <v>302</v>
      </c>
      <c r="B21" s="25" t="s">
        <v>388</v>
      </c>
      <c r="C21" s="27">
        <v>313.39999999999998</v>
      </c>
      <c r="D21" s="26"/>
      <c r="F21" s="26"/>
      <c r="J21" s="41"/>
    </row>
    <row r="22" spans="1:11" s="24" customFormat="1" x14ac:dyDescent="0.2">
      <c r="A22" s="25" t="s">
        <v>661</v>
      </c>
      <c r="B22" s="25" t="s">
        <v>440</v>
      </c>
      <c r="C22" s="27">
        <v>342.81</v>
      </c>
      <c r="D22" s="26"/>
      <c r="F22" s="51"/>
    </row>
    <row r="23" spans="1:11" s="24" customFormat="1" x14ac:dyDescent="0.2">
      <c r="A23" s="25" t="s">
        <v>601</v>
      </c>
      <c r="B23" s="25" t="s">
        <v>395</v>
      </c>
      <c r="C23" s="27">
        <v>21.89</v>
      </c>
      <c r="F23" s="26"/>
      <c r="G23" s="111"/>
    </row>
    <row r="24" spans="1:11" s="24" customFormat="1" x14ac:dyDescent="0.2">
      <c r="A24" s="29"/>
      <c r="B24" s="29"/>
      <c r="C24" s="29"/>
      <c r="F24" s="26"/>
      <c r="G24" s="111"/>
    </row>
    <row r="25" spans="1:11" s="24" customFormat="1" x14ac:dyDescent="0.2">
      <c r="A25" s="26"/>
      <c r="B25" s="26"/>
      <c r="C25" s="26"/>
      <c r="D25" s="26"/>
      <c r="F25" s="26"/>
      <c r="G25" s="111"/>
    </row>
    <row r="26" spans="1:11" s="24" customFormat="1" x14ac:dyDescent="0.2">
      <c r="A26" s="26"/>
      <c r="B26" s="26"/>
      <c r="C26" s="26"/>
      <c r="D26" s="26"/>
      <c r="F26" s="26"/>
      <c r="I26" s="102"/>
    </row>
    <row r="27" spans="1:11" s="24" customFormat="1" x14ac:dyDescent="0.2">
      <c r="A27" s="26"/>
      <c r="B27" s="26"/>
      <c r="C27" s="26"/>
      <c r="D27" s="26"/>
      <c r="F27" s="26"/>
      <c r="G27" s="51"/>
      <c r="I27" s="102"/>
    </row>
    <row r="28" spans="1:11" s="24" customFormat="1" x14ac:dyDescent="0.2">
      <c r="D28" s="26"/>
      <c r="F28" s="26"/>
      <c r="I28" s="102"/>
    </row>
    <row r="29" spans="1:11" s="24" customFormat="1" x14ac:dyDescent="0.2">
      <c r="D29" s="26"/>
      <c r="F29" s="26"/>
      <c r="G29" s="121"/>
      <c r="I29" s="102"/>
    </row>
    <row r="30" spans="1:11" s="24" customFormat="1" x14ac:dyDescent="0.2">
      <c r="F30" s="26"/>
      <c r="I30" s="102"/>
    </row>
    <row r="31" spans="1:11" s="24" customFormat="1" x14ac:dyDescent="0.2">
      <c r="A31" s="25" t="s">
        <v>653</v>
      </c>
      <c r="D31" s="26"/>
      <c r="F31" s="26"/>
      <c r="I31" s="52"/>
    </row>
    <row r="32" spans="1:11" s="24" customFormat="1" x14ac:dyDescent="0.2">
      <c r="A32" s="25" t="s">
        <v>650</v>
      </c>
      <c r="B32" s="41"/>
      <c r="D32" s="26"/>
      <c r="I32" s="52"/>
    </row>
    <row r="33" spans="1:9" s="24" customFormat="1" x14ac:dyDescent="0.2">
      <c r="A33" s="25" t="s">
        <v>666</v>
      </c>
      <c r="B33" s="121"/>
      <c r="D33" s="26"/>
      <c r="G33" s="111"/>
      <c r="H33" s="26"/>
      <c r="I33" s="52"/>
    </row>
    <row r="34" spans="1:9" s="24" customFormat="1" x14ac:dyDescent="0.2">
      <c r="A34" s="25" t="s">
        <v>691</v>
      </c>
      <c r="D34" s="26"/>
      <c r="F34" s="52"/>
      <c r="G34" s="110"/>
      <c r="H34" s="26"/>
      <c r="I34" s="52"/>
    </row>
    <row r="35" spans="1:9" s="24" customFormat="1" x14ac:dyDescent="0.2">
      <c r="A35" s="25" t="s">
        <v>600</v>
      </c>
      <c r="D35" s="26"/>
      <c r="F35" s="52"/>
      <c r="H35" s="26"/>
      <c r="I35" s="52"/>
    </row>
    <row r="36" spans="1:9" s="24" customFormat="1" x14ac:dyDescent="0.2">
      <c r="A36" s="26"/>
      <c r="D36" s="26"/>
      <c r="E36" s="101"/>
      <c r="F36" s="52"/>
      <c r="G36" s="111"/>
      <c r="H36" s="26"/>
      <c r="I36" s="52"/>
    </row>
    <row r="37" spans="1:9" s="24" customFormat="1" x14ac:dyDescent="0.2">
      <c r="A37" s="26"/>
      <c r="D37" s="26"/>
      <c r="E37" s="101"/>
      <c r="G37" s="111"/>
      <c r="H37" s="26"/>
      <c r="I37" s="26"/>
    </row>
    <row r="38" spans="1:9" s="24" customFormat="1" x14ac:dyDescent="0.2">
      <c r="A38" s="26"/>
      <c r="D38" s="26"/>
      <c r="E38" s="101"/>
      <c r="H38" s="26"/>
      <c r="I38" s="26"/>
    </row>
    <row r="39" spans="1:9" s="24" customFormat="1" x14ac:dyDescent="0.2">
      <c r="A39" s="26"/>
      <c r="C39" s="26"/>
      <c r="D39" s="26"/>
      <c r="E39" s="104"/>
      <c r="H39" s="26"/>
      <c r="I39" s="26"/>
    </row>
    <row r="40" spans="1:9" s="24" customFormat="1" x14ac:dyDescent="0.2">
      <c r="A40" s="26"/>
      <c r="C40" s="26"/>
      <c r="D40" s="26"/>
      <c r="E40" s="101"/>
      <c r="H40" s="26"/>
      <c r="I40" s="26"/>
    </row>
    <row r="41" spans="1:9" s="24" customFormat="1" x14ac:dyDescent="0.2">
      <c r="A41" s="26"/>
      <c r="C41" s="26"/>
      <c r="D41" s="26"/>
      <c r="E41" s="101"/>
      <c r="H41" s="26"/>
      <c r="I41" s="26"/>
    </row>
    <row r="42" spans="1:9" s="24" customFormat="1" x14ac:dyDescent="0.2">
      <c r="A42" s="26"/>
      <c r="C42" s="26"/>
      <c r="H42" s="26"/>
      <c r="I42" s="26"/>
    </row>
    <row r="43" spans="1:9" s="24" customFormat="1" x14ac:dyDescent="0.2">
      <c r="H43" s="26"/>
      <c r="I43" s="26"/>
    </row>
    <row r="44" spans="1:9" s="24" customFormat="1" x14ac:dyDescent="0.2">
      <c r="A44" s="26"/>
      <c r="C44" s="26"/>
      <c r="H44" s="26"/>
      <c r="I44" s="26"/>
    </row>
    <row r="45" spans="1:9" s="24" customFormat="1" x14ac:dyDescent="0.2">
      <c r="A45" s="26"/>
      <c r="C45" s="26"/>
      <c r="H45" s="26"/>
      <c r="I45" s="26"/>
    </row>
    <row r="46" spans="1:9" s="24" customFormat="1" x14ac:dyDescent="0.2">
      <c r="A46" s="26"/>
      <c r="C46" s="26"/>
      <c r="F46" s="108"/>
      <c r="G46" s="45"/>
      <c r="H46" s="26"/>
      <c r="I46" s="26"/>
    </row>
    <row r="47" spans="1:9" s="24" customFormat="1" x14ac:dyDescent="0.2">
      <c r="F47" s="26"/>
      <c r="G47" s="46"/>
      <c r="H47" s="26"/>
      <c r="I47" s="26"/>
    </row>
    <row r="48" spans="1:9" s="24" customFormat="1" x14ac:dyDescent="0.2">
      <c r="A48" s="26"/>
      <c r="B48" s="26"/>
      <c r="C48"/>
      <c r="F48" s="26"/>
      <c r="G48" s="46"/>
      <c r="H48" s="26"/>
      <c r="I48" s="26"/>
    </row>
    <row r="49" spans="1:9" s="24" customFormat="1" x14ac:dyDescent="0.2">
      <c r="A49" s="91"/>
      <c r="B49" s="26"/>
      <c r="C49"/>
      <c r="F49" s="26"/>
      <c r="G49" s="46"/>
      <c r="H49" s="26"/>
      <c r="I49" s="26"/>
    </row>
    <row r="50" spans="1:9" s="24" customFormat="1" x14ac:dyDescent="0.2">
      <c r="A50" s="91"/>
      <c r="B50"/>
      <c r="C50"/>
      <c r="F50"/>
      <c r="G50" s="46"/>
      <c r="H50" s="26"/>
      <c r="I50" s="26"/>
    </row>
    <row r="51" spans="1:9" s="24" customFormat="1" x14ac:dyDescent="0.2">
      <c r="A51" s="91"/>
      <c r="B51" s="26"/>
      <c r="C51"/>
      <c r="F51" s="26"/>
      <c r="G51" s="26"/>
      <c r="H51" s="26"/>
      <c r="I51" s="26"/>
    </row>
    <row r="52" spans="1:9" s="24" customFormat="1" x14ac:dyDescent="0.2">
      <c r="A52" s="91"/>
      <c r="B52" s="26"/>
      <c r="C52"/>
      <c r="F52" s="26"/>
      <c r="G52" s="26"/>
      <c r="I52" s="26"/>
    </row>
    <row r="53" spans="1:9" s="24" customFormat="1" x14ac:dyDescent="0.2">
      <c r="A53"/>
      <c r="B53"/>
      <c r="C53"/>
      <c r="F53" s="26"/>
      <c r="G53" s="26"/>
      <c r="I53" s="26"/>
    </row>
    <row r="54" spans="1:9" s="24" customFormat="1" x14ac:dyDescent="0.2">
      <c r="A54"/>
      <c r="B54"/>
      <c r="C54"/>
      <c r="F54" s="26"/>
      <c r="G54" s="26"/>
      <c r="H54" s="26"/>
    </row>
    <row r="55" spans="1:9" s="24" customFormat="1" x14ac:dyDescent="0.2">
      <c r="A55" s="91"/>
      <c r="B55"/>
      <c r="C55"/>
      <c r="F55" s="26"/>
      <c r="G55" s="26"/>
      <c r="H55" s="26"/>
    </row>
    <row r="56" spans="1:9" s="26" customFormat="1" x14ac:dyDescent="0.2">
      <c r="A56" s="91"/>
      <c r="B56"/>
      <c r="C56"/>
    </row>
    <row r="57" spans="1:9" s="26" customFormat="1" x14ac:dyDescent="0.2">
      <c r="A57" s="91"/>
      <c r="B57"/>
      <c r="C57"/>
      <c r="H57" s="24"/>
    </row>
    <row r="58" spans="1:9" s="26" customFormat="1" x14ac:dyDescent="0.2">
      <c r="A58" s="91"/>
      <c r="B58"/>
      <c r="C58"/>
      <c r="G58" s="24"/>
      <c r="H58" s="24"/>
    </row>
    <row r="59" spans="1:9" s="26" customFormat="1" x14ac:dyDescent="0.2">
      <c r="A59" s="91"/>
      <c r="B59"/>
      <c r="C59"/>
      <c r="H59" s="24"/>
    </row>
    <row r="60" spans="1:9" s="24" customFormat="1" x14ac:dyDescent="0.2">
      <c r="A60" s="91"/>
      <c r="B60"/>
      <c r="C60"/>
      <c r="F60" s="26"/>
      <c r="G60" s="26"/>
      <c r="H60" s="26"/>
      <c r="I60" s="26"/>
    </row>
    <row r="61" spans="1:9" s="26" customFormat="1" x14ac:dyDescent="0.2">
      <c r="A61" s="91"/>
      <c r="B61"/>
      <c r="C61"/>
    </row>
    <row r="62" spans="1:9" s="26" customFormat="1" x14ac:dyDescent="0.2">
      <c r="A62" s="91"/>
      <c r="B62"/>
      <c r="C62"/>
      <c r="H62"/>
    </row>
    <row r="63" spans="1:9" s="26" customFormat="1" x14ac:dyDescent="0.2">
      <c r="A63" s="91"/>
      <c r="B63"/>
      <c r="C63"/>
      <c r="H63"/>
    </row>
    <row r="64" spans="1:9" s="24" customFormat="1" x14ac:dyDescent="0.2">
      <c r="A64" s="91"/>
      <c r="B64"/>
      <c r="C64"/>
      <c r="F64" s="26"/>
      <c r="G64" s="26"/>
      <c r="H64" s="26"/>
      <c r="I64" s="26"/>
    </row>
    <row r="65" spans="1:9" s="24" customFormat="1" x14ac:dyDescent="0.2">
      <c r="A65" s="91"/>
      <c r="B65"/>
      <c r="C65"/>
      <c r="D65" s="26"/>
      <c r="F65"/>
      <c r="G65" s="26"/>
      <c r="H65" s="26"/>
      <c r="I65" s="26"/>
    </row>
    <row r="66" spans="1:9" s="24" customFormat="1" x14ac:dyDescent="0.2">
      <c r="A66" s="91"/>
      <c r="B66"/>
      <c r="C66"/>
      <c r="D66" s="26"/>
      <c r="F66"/>
      <c r="G66" s="26"/>
      <c r="H66"/>
      <c r="I66" s="26"/>
    </row>
    <row r="67" spans="1:9" s="26" customFormat="1" x14ac:dyDescent="0.2">
      <c r="A67" s="91"/>
      <c r="B67"/>
      <c r="C67"/>
      <c r="G67"/>
      <c r="H67"/>
    </row>
    <row r="68" spans="1:9" s="26" customFormat="1" x14ac:dyDescent="0.2">
      <c r="A68" s="91"/>
      <c r="B68"/>
      <c r="C68"/>
      <c r="G68"/>
      <c r="H68"/>
      <c r="I68"/>
    </row>
    <row r="69" spans="1:9" x14ac:dyDescent="0.2">
      <c r="A69" s="91"/>
    </row>
    <row r="70" spans="1:9" x14ac:dyDescent="0.2">
      <c r="A70" s="91"/>
    </row>
    <row r="71" spans="1:9" s="26" customFormat="1" x14ac:dyDescent="0.2">
      <c r="A71" s="91"/>
      <c r="B71"/>
      <c r="C71"/>
      <c r="F71"/>
      <c r="G71"/>
      <c r="H71"/>
      <c r="I71"/>
    </row>
    <row r="72" spans="1:9" s="26" customFormat="1" x14ac:dyDescent="0.2">
      <c r="A72"/>
      <c r="B72"/>
      <c r="C72"/>
      <c r="F72"/>
      <c r="G72"/>
      <c r="H72"/>
      <c r="I7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C951-EAD6-438C-A75C-1DF038BB2C26}">
  <dimension ref="A1:K75"/>
  <sheetViews>
    <sheetView workbookViewId="0">
      <selection activeCell="D20" sqref="D20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4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722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3796.66</v>
      </c>
      <c r="C3" s="51">
        <v>3796.66</v>
      </c>
      <c r="F3" s="33">
        <f>B3+B4</f>
        <v>5319.6549999999997</v>
      </c>
      <c r="G3" s="27">
        <f>C9+C10+C11+C12+C13+C14+C15+C16+C17</f>
        <v>3546.16</v>
      </c>
      <c r="H3" s="27">
        <f>F3-G3</f>
        <v>1773.4949999999999</v>
      </c>
    </row>
    <row r="4" spans="1:11" x14ac:dyDescent="0.2">
      <c r="A4" s="26" t="s">
        <v>265</v>
      </c>
      <c r="B4" s="51">
        <v>1522.9949999999999</v>
      </c>
      <c r="C4" s="51">
        <v>1522.9949999999999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5319.6549999999997</v>
      </c>
      <c r="G6" s="27">
        <f>C20+C21+C22+C23+C24+C25+C26+C27</f>
        <v>1775</v>
      </c>
      <c r="H6" s="27">
        <f>F6-G6</f>
        <v>3544.6549999999997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5" t="s">
        <v>652</v>
      </c>
      <c r="B9" s="25" t="s">
        <v>389</v>
      </c>
      <c r="C9" s="33">
        <v>2271.33</v>
      </c>
      <c r="D9" s="26"/>
      <c r="F9" s="26"/>
      <c r="H9" s="26"/>
      <c r="I9" s="26"/>
      <c r="J9" s="45"/>
    </row>
    <row r="10" spans="1:11" s="24" customFormat="1" x14ac:dyDescent="0.2">
      <c r="A10" s="25" t="s">
        <v>675</v>
      </c>
      <c r="B10" s="25" t="s">
        <v>389</v>
      </c>
      <c r="C10" s="33">
        <v>80.23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5" t="s">
        <v>660</v>
      </c>
      <c r="B11" s="25" t="s">
        <v>394</v>
      </c>
      <c r="C11" s="27">
        <v>98.39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5" t="s">
        <v>653</v>
      </c>
      <c r="B12" s="25" t="s">
        <v>657</v>
      </c>
      <c r="C12" s="27"/>
      <c r="D12" s="26"/>
      <c r="F12" s="25">
        <f>(H3+H6)/2</f>
        <v>2659.0749999999998</v>
      </c>
      <c r="G12" s="26"/>
      <c r="H12" s="26"/>
      <c r="I12" s="26"/>
      <c r="K12" s="45"/>
    </row>
    <row r="13" spans="1:11" s="24" customFormat="1" x14ac:dyDescent="0.2">
      <c r="A13" s="25" t="s">
        <v>633</v>
      </c>
      <c r="B13" s="25" t="s">
        <v>518</v>
      </c>
      <c r="C13" s="27">
        <v>542.02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5" t="s">
        <v>626</v>
      </c>
      <c r="B14" s="25" t="s">
        <v>398</v>
      </c>
      <c r="C14" s="27">
        <v>165.33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5" t="s">
        <v>650</v>
      </c>
      <c r="B15" s="25" t="s">
        <v>401</v>
      </c>
      <c r="C15" s="27">
        <v>14.22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5" t="s">
        <v>651</v>
      </c>
      <c r="B16" s="25" t="s">
        <v>523</v>
      </c>
      <c r="C16" s="27">
        <v>8.5500000000000007</v>
      </c>
      <c r="D16" s="26"/>
      <c r="F16" s="26"/>
      <c r="I16" s="26"/>
      <c r="J16" s="66"/>
      <c r="K16" s="45"/>
    </row>
    <row r="17" spans="1:11" s="24" customFormat="1" x14ac:dyDescent="0.2">
      <c r="A17" s="25" t="s">
        <v>687</v>
      </c>
      <c r="B17" s="25" t="s">
        <v>400</v>
      </c>
      <c r="C17" s="27">
        <v>366.09</v>
      </c>
      <c r="D17" s="26"/>
      <c r="F17" s="26"/>
      <c r="I17" s="26"/>
      <c r="J17" s="66"/>
      <c r="K17" s="45"/>
    </row>
    <row r="18" spans="1:11" s="24" customFormat="1" x14ac:dyDescent="0.2">
      <c r="A18" s="29"/>
      <c r="B18" s="29"/>
      <c r="C18" s="30"/>
      <c r="D18" s="90"/>
      <c r="F18" s="26"/>
      <c r="I18" s="26"/>
      <c r="J18" s="26"/>
      <c r="K18" s="26"/>
    </row>
    <row r="19" spans="1:11" s="24" customFormat="1" x14ac:dyDescent="0.2">
      <c r="A19" s="32" t="s">
        <v>13</v>
      </c>
      <c r="B19" s="25"/>
      <c r="C19" s="27"/>
      <c r="D19" s="26"/>
      <c r="F19" s="26"/>
      <c r="I19" s="26"/>
      <c r="J19" s="26"/>
      <c r="K19" s="26"/>
    </row>
    <row r="20" spans="1:11" s="24" customFormat="1" x14ac:dyDescent="0.2">
      <c r="A20" s="25" t="s">
        <v>694</v>
      </c>
      <c r="B20" s="25" t="s">
        <v>448</v>
      </c>
      <c r="C20" s="27">
        <v>710.16</v>
      </c>
      <c r="D20" s="26"/>
      <c r="F20" s="51"/>
      <c r="I20" s="26"/>
      <c r="J20" s="26"/>
      <c r="K20" s="26"/>
    </row>
    <row r="21" spans="1:11" s="24" customFormat="1" x14ac:dyDescent="0.2">
      <c r="A21" s="25" t="s">
        <v>267</v>
      </c>
      <c r="B21" s="25" t="s">
        <v>404</v>
      </c>
      <c r="C21" s="58">
        <v>62.31</v>
      </c>
      <c r="D21" s="26"/>
      <c r="F21" s="26"/>
      <c r="J21" s="41"/>
    </row>
    <row r="22" spans="1:11" s="24" customFormat="1" x14ac:dyDescent="0.2">
      <c r="A22" s="25" t="s">
        <v>79</v>
      </c>
      <c r="B22" s="25" t="s">
        <v>390</v>
      </c>
      <c r="C22" s="27">
        <v>243.86</v>
      </c>
      <c r="D22" s="26"/>
      <c r="F22" s="51"/>
    </row>
    <row r="23" spans="1:11" s="24" customFormat="1" x14ac:dyDescent="0.2">
      <c r="A23" s="25" t="s">
        <v>666</v>
      </c>
      <c r="B23" s="25" t="s">
        <v>664</v>
      </c>
      <c r="C23" s="27">
        <v>120.67</v>
      </c>
      <c r="F23" s="26"/>
      <c r="G23" s="111"/>
    </row>
    <row r="24" spans="1:11" s="24" customFormat="1" x14ac:dyDescent="0.2">
      <c r="A24" s="25" t="s">
        <v>302</v>
      </c>
      <c r="B24" s="25" t="s">
        <v>388</v>
      </c>
      <c r="C24" s="27">
        <v>204.3</v>
      </c>
      <c r="G24" s="111"/>
    </row>
    <row r="25" spans="1:11" s="24" customFormat="1" x14ac:dyDescent="0.2">
      <c r="A25" s="25" t="s">
        <v>661</v>
      </c>
      <c r="B25" s="25" t="s">
        <v>440</v>
      </c>
      <c r="C25" s="27">
        <v>342.81</v>
      </c>
      <c r="D25" s="26"/>
      <c r="G25" s="111"/>
    </row>
    <row r="26" spans="1:11" s="24" customFormat="1" x14ac:dyDescent="0.2">
      <c r="A26" s="25" t="s">
        <v>600</v>
      </c>
      <c r="B26" s="103" t="s">
        <v>388</v>
      </c>
      <c r="C26" s="27">
        <v>69</v>
      </c>
      <c r="D26" s="26"/>
      <c r="I26" s="102"/>
    </row>
    <row r="27" spans="1:11" s="24" customFormat="1" x14ac:dyDescent="0.2">
      <c r="A27" s="25" t="s">
        <v>601</v>
      </c>
      <c r="B27" s="25" t="s">
        <v>395</v>
      </c>
      <c r="C27" s="27">
        <v>21.89</v>
      </c>
      <c r="D27" s="26"/>
      <c r="G27" s="51"/>
      <c r="I27" s="102"/>
    </row>
    <row r="28" spans="1:11" s="24" customFormat="1" x14ac:dyDescent="0.2">
      <c r="A28" s="29"/>
      <c r="B28" s="29"/>
      <c r="C28" s="29"/>
      <c r="D28" s="26"/>
      <c r="I28" s="102"/>
    </row>
    <row r="29" spans="1:11" s="24" customFormat="1" x14ac:dyDescent="0.2">
      <c r="A29" s="26"/>
      <c r="B29" s="26"/>
      <c r="C29" s="26"/>
      <c r="D29" s="26"/>
      <c r="G29" s="121"/>
      <c r="I29" s="102"/>
    </row>
    <row r="30" spans="1:11" s="24" customFormat="1" x14ac:dyDescent="0.2">
      <c r="A30" s="26"/>
      <c r="B30" s="26"/>
      <c r="C30" s="26"/>
      <c r="I30" s="102"/>
    </row>
    <row r="31" spans="1:11" s="24" customFormat="1" ht="16" x14ac:dyDescent="0.2">
      <c r="A31" s="137"/>
      <c r="B31" s="137"/>
      <c r="C31" s="26"/>
      <c r="D31" s="26"/>
      <c r="I31" s="52"/>
    </row>
    <row r="32" spans="1:11" s="24" customFormat="1" x14ac:dyDescent="0.2">
      <c r="A32" s="143"/>
      <c r="B32" s="111"/>
      <c r="C32" s="41"/>
      <c r="D32" s="26"/>
      <c r="G32" s="141"/>
      <c r="I32" s="52"/>
    </row>
    <row r="33" spans="1:9" s="24" customFormat="1" x14ac:dyDescent="0.2">
      <c r="A33" s="143"/>
      <c r="B33" s="110"/>
      <c r="D33" s="26"/>
      <c r="G33" s="111"/>
      <c r="H33" s="26"/>
      <c r="I33" s="52"/>
    </row>
    <row r="34" spans="1:9" s="24" customFormat="1" x14ac:dyDescent="0.2">
      <c r="A34" s="143"/>
      <c r="C34" s="41"/>
      <c r="D34" s="26"/>
      <c r="G34" s="142"/>
      <c r="H34" s="26"/>
      <c r="I34" s="52"/>
    </row>
    <row r="35" spans="1:9" s="24" customFormat="1" x14ac:dyDescent="0.2">
      <c r="A35" s="143"/>
      <c r="B35" s="111"/>
      <c r="D35" s="26"/>
      <c r="H35" s="26"/>
      <c r="I35" s="52"/>
    </row>
    <row r="36" spans="1:9" s="24" customFormat="1" x14ac:dyDescent="0.2">
      <c r="A36" s="143"/>
      <c r="B36" s="111"/>
      <c r="C36" s="41"/>
      <c r="D36" s="26"/>
      <c r="E36" s="101"/>
      <c r="G36" s="111"/>
      <c r="H36" s="26"/>
      <c r="I36" s="52"/>
    </row>
    <row r="37" spans="1:9" s="24" customFormat="1" x14ac:dyDescent="0.2">
      <c r="A37" s="143"/>
      <c r="B37" s="121"/>
      <c r="C37" s="41"/>
      <c r="D37" s="26"/>
      <c r="E37" s="101"/>
      <c r="G37" s="111"/>
      <c r="H37" s="26"/>
      <c r="I37" s="26"/>
    </row>
    <row r="38" spans="1:9" s="24" customFormat="1" x14ac:dyDescent="0.2">
      <c r="A38" s="143"/>
      <c r="C38" s="41"/>
      <c r="D38" s="26"/>
      <c r="E38" s="101"/>
      <c r="H38" s="26"/>
      <c r="I38" s="26"/>
    </row>
    <row r="39" spans="1:9" s="24" customFormat="1" x14ac:dyDescent="0.2">
      <c r="D39" s="26"/>
      <c r="E39" s="104"/>
      <c r="H39" s="26"/>
      <c r="I39" s="26"/>
    </row>
    <row r="40" spans="1:9" s="24" customFormat="1" ht="16" x14ac:dyDescent="0.2">
      <c r="A40" s="137" t="s">
        <v>714</v>
      </c>
      <c r="B40" s="137" t="s">
        <v>712</v>
      </c>
      <c r="D40" s="26"/>
      <c r="E40" s="101"/>
      <c r="H40" s="26"/>
      <c r="I40" s="26"/>
    </row>
    <row r="41" spans="1:9" s="24" customFormat="1" x14ac:dyDescent="0.2">
      <c r="A41" s="133" t="s">
        <v>715</v>
      </c>
      <c r="B41" s="134">
        <v>810</v>
      </c>
      <c r="D41" s="26"/>
      <c r="E41" s="101"/>
      <c r="H41" s="26"/>
      <c r="I41" s="26"/>
    </row>
    <row r="42" spans="1:9" s="24" customFormat="1" x14ac:dyDescent="0.2">
      <c r="A42" s="135" t="s">
        <v>716</v>
      </c>
      <c r="B42" s="126">
        <v>1354.12</v>
      </c>
      <c r="H42" s="26"/>
      <c r="I42" s="26"/>
    </row>
    <row r="43" spans="1:9" s="24" customFormat="1" x14ac:dyDescent="0.2">
      <c r="A43" s="135" t="s">
        <v>717</v>
      </c>
      <c r="B43" s="126">
        <v>477.36</v>
      </c>
      <c r="C43" s="26"/>
      <c r="H43" s="26"/>
      <c r="I43" s="26"/>
    </row>
    <row r="44" spans="1:9" s="24" customFormat="1" x14ac:dyDescent="0.2">
      <c r="A44" s="136" t="s">
        <v>718</v>
      </c>
      <c r="B44" s="129">
        <v>1398.05</v>
      </c>
      <c r="C44" s="26"/>
      <c r="H44" s="26"/>
      <c r="I44" s="26"/>
    </row>
    <row r="45" spans="1:9" s="24" customFormat="1" x14ac:dyDescent="0.2">
      <c r="A45" s="26"/>
      <c r="B45" s="140">
        <v>4039.53</v>
      </c>
      <c r="C45" s="26"/>
      <c r="H45" s="26"/>
      <c r="I45" s="26"/>
    </row>
    <row r="46" spans="1:9" s="24" customFormat="1" x14ac:dyDescent="0.2">
      <c r="A46" s="26"/>
      <c r="C46" s="26"/>
      <c r="F46" s="108"/>
      <c r="G46" s="45"/>
      <c r="H46" s="26"/>
      <c r="I46" s="26"/>
    </row>
    <row r="47" spans="1:9" s="24" customFormat="1" x14ac:dyDescent="0.2">
      <c r="F47" s="26"/>
      <c r="G47" s="46"/>
      <c r="H47" s="26"/>
      <c r="I47" s="26"/>
    </row>
    <row r="48" spans="1:9" s="24" customFormat="1" x14ac:dyDescent="0.2">
      <c r="A48" s="26"/>
      <c r="C48" s="26"/>
      <c r="F48" s="26"/>
      <c r="G48" s="46"/>
      <c r="H48" s="26"/>
      <c r="I48" s="26"/>
    </row>
    <row r="49" spans="1:9" s="24" customFormat="1" x14ac:dyDescent="0.2">
      <c r="A49" s="26"/>
      <c r="C49" s="26"/>
      <c r="F49" s="26"/>
      <c r="G49" s="46"/>
      <c r="H49" s="26"/>
      <c r="I49" s="26"/>
    </row>
    <row r="50" spans="1:9" s="24" customFormat="1" x14ac:dyDescent="0.2">
      <c r="A50" s="26"/>
      <c r="C50" s="26"/>
      <c r="F50"/>
      <c r="G50" s="46"/>
      <c r="H50" s="26"/>
      <c r="I50" s="26"/>
    </row>
    <row r="51" spans="1:9" s="24" customFormat="1" x14ac:dyDescent="0.2">
      <c r="F51" s="26"/>
      <c r="G51" s="26"/>
      <c r="H51" s="26"/>
      <c r="I51" s="26"/>
    </row>
    <row r="52" spans="1:9" s="24" customFormat="1" x14ac:dyDescent="0.2">
      <c r="A52" s="26"/>
      <c r="B52" s="26"/>
      <c r="C52"/>
      <c r="F52" s="26"/>
      <c r="G52" s="26"/>
      <c r="I52" s="26"/>
    </row>
    <row r="53" spans="1:9" s="24" customFormat="1" x14ac:dyDescent="0.2">
      <c r="A53" s="91"/>
      <c r="B53" s="26"/>
      <c r="C53"/>
      <c r="F53" s="26"/>
      <c r="G53" s="26"/>
      <c r="I53" s="26"/>
    </row>
    <row r="54" spans="1:9" s="24" customFormat="1" x14ac:dyDescent="0.2">
      <c r="A54" s="91"/>
      <c r="B54"/>
      <c r="C54"/>
      <c r="F54" s="26"/>
      <c r="G54" s="26"/>
      <c r="H54" s="26"/>
    </row>
    <row r="55" spans="1:9" s="24" customFormat="1" x14ac:dyDescent="0.2">
      <c r="A55" s="91"/>
      <c r="B55" s="26"/>
      <c r="C55"/>
      <c r="F55" s="26"/>
      <c r="G55" s="26"/>
      <c r="H55" s="26"/>
    </row>
    <row r="56" spans="1:9" s="26" customFormat="1" x14ac:dyDescent="0.2">
      <c r="A56" s="91"/>
      <c r="C56"/>
    </row>
    <row r="57" spans="1:9" s="26" customFormat="1" x14ac:dyDescent="0.2">
      <c r="A57"/>
      <c r="B57"/>
      <c r="C57"/>
      <c r="H57" s="24"/>
    </row>
    <row r="58" spans="1:9" s="26" customFormat="1" x14ac:dyDescent="0.2">
      <c r="A58"/>
      <c r="B58"/>
      <c r="C58"/>
      <c r="G58" s="24"/>
      <c r="H58" s="24"/>
    </row>
    <row r="59" spans="1:9" s="26" customFormat="1" x14ac:dyDescent="0.2">
      <c r="A59" s="91"/>
      <c r="B59"/>
      <c r="C59"/>
      <c r="H59" s="24"/>
    </row>
    <row r="60" spans="1:9" s="24" customFormat="1" x14ac:dyDescent="0.2">
      <c r="A60" s="91"/>
      <c r="B60"/>
      <c r="C60"/>
      <c r="F60" s="26"/>
      <c r="G60" s="26"/>
      <c r="H60" s="26"/>
      <c r="I60" s="26"/>
    </row>
    <row r="61" spans="1:9" s="26" customFormat="1" x14ac:dyDescent="0.2">
      <c r="A61" s="91"/>
      <c r="B61"/>
      <c r="C61"/>
    </row>
    <row r="62" spans="1:9" s="26" customFormat="1" x14ac:dyDescent="0.2">
      <c r="A62" s="91"/>
      <c r="B62"/>
      <c r="C62"/>
      <c r="H62"/>
    </row>
    <row r="63" spans="1:9" s="26" customFormat="1" x14ac:dyDescent="0.2">
      <c r="A63" s="91"/>
      <c r="B63"/>
      <c r="C63"/>
      <c r="H63"/>
    </row>
    <row r="64" spans="1:9" s="24" customFormat="1" x14ac:dyDescent="0.2">
      <c r="A64" s="91"/>
      <c r="B64"/>
      <c r="C64"/>
      <c r="F64" s="26"/>
      <c r="G64" s="26"/>
      <c r="H64" s="26"/>
      <c r="I64" s="26"/>
    </row>
    <row r="65" spans="1:9" s="24" customFormat="1" x14ac:dyDescent="0.2">
      <c r="A65" s="91"/>
      <c r="B65"/>
      <c r="C65"/>
      <c r="D65" s="26"/>
      <c r="F65"/>
      <c r="G65" s="26"/>
      <c r="H65" s="26"/>
      <c r="I65" s="26"/>
    </row>
    <row r="66" spans="1:9" s="24" customFormat="1" x14ac:dyDescent="0.2">
      <c r="A66" s="91"/>
      <c r="B66"/>
      <c r="C66"/>
      <c r="D66" s="26"/>
      <c r="F66"/>
      <c r="G66" s="26"/>
      <c r="H66"/>
      <c r="I66" s="26"/>
    </row>
    <row r="67" spans="1:9" s="26" customFormat="1" x14ac:dyDescent="0.2">
      <c r="A67" s="91"/>
      <c r="B67"/>
      <c r="C67"/>
      <c r="G67"/>
      <c r="H67"/>
    </row>
    <row r="68" spans="1:9" s="26" customFormat="1" x14ac:dyDescent="0.2">
      <c r="A68" s="91"/>
      <c r="B68"/>
      <c r="C68"/>
      <c r="G68"/>
      <c r="H68"/>
      <c r="I68"/>
    </row>
    <row r="69" spans="1:9" x14ac:dyDescent="0.2">
      <c r="A69" s="91"/>
    </row>
    <row r="70" spans="1:9" x14ac:dyDescent="0.2">
      <c r="A70" s="91"/>
    </row>
    <row r="71" spans="1:9" s="26" customFormat="1" x14ac:dyDescent="0.2">
      <c r="A71" s="91"/>
      <c r="B71"/>
      <c r="C71"/>
      <c r="F71"/>
      <c r="G71"/>
      <c r="H71"/>
      <c r="I71"/>
    </row>
    <row r="72" spans="1:9" s="26" customFormat="1" x14ac:dyDescent="0.2">
      <c r="A72" s="91"/>
      <c r="B72"/>
      <c r="C72"/>
      <c r="F72"/>
      <c r="G72"/>
      <c r="H72"/>
      <c r="I72"/>
    </row>
    <row r="73" spans="1:9" x14ac:dyDescent="0.2">
      <c r="A73" s="91"/>
    </row>
    <row r="74" spans="1:9" x14ac:dyDescent="0.2">
      <c r="A74" s="91"/>
    </row>
    <row r="75" spans="1:9" x14ac:dyDescent="0.2">
      <c r="A75" s="9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8F00-F192-442D-8657-92D32E1CAAB2}">
  <dimension ref="A1:K75"/>
  <sheetViews>
    <sheetView workbookViewId="0">
      <selection activeCell="A25" sqref="A25:C25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4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721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3796.66</v>
      </c>
      <c r="C3" s="51">
        <v>3796.66</v>
      </c>
      <c r="F3" s="33">
        <f>B3+B4</f>
        <v>5319.6549999999997</v>
      </c>
      <c r="G3" s="27">
        <f>C9+C10+C11+C12+C13+C14+C15+C16+C17</f>
        <v>3546.16</v>
      </c>
      <c r="H3" s="27">
        <f>F3-G3</f>
        <v>1773.4949999999999</v>
      </c>
    </row>
    <row r="4" spans="1:11" x14ac:dyDescent="0.2">
      <c r="A4" s="26" t="s">
        <v>265</v>
      </c>
      <c r="B4" s="51">
        <v>1522.9949999999999</v>
      </c>
      <c r="C4" s="51">
        <v>1522.9949999999999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5319.6549999999997</v>
      </c>
      <c r="G6" s="27">
        <f>C20+C21+C22+C23+C24+C25+C26+C27</f>
        <v>1782.68</v>
      </c>
      <c r="H6" s="27">
        <f>F6-G6</f>
        <v>3536.9749999999995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2271.33</v>
      </c>
      <c r="D9" s="26"/>
      <c r="F9" s="26"/>
      <c r="H9" s="26"/>
      <c r="I9" s="26"/>
      <c r="J9" s="45"/>
    </row>
    <row r="10" spans="1:11" s="24" customFormat="1" x14ac:dyDescent="0.2">
      <c r="A10" s="20" t="s">
        <v>675</v>
      </c>
      <c r="B10" s="20" t="s">
        <v>389</v>
      </c>
      <c r="C10" s="22">
        <v>80.23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660</v>
      </c>
      <c r="B11" s="20" t="s">
        <v>394</v>
      </c>
      <c r="C11" s="21">
        <v>98.39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653</v>
      </c>
      <c r="B12" s="20" t="s">
        <v>657</v>
      </c>
      <c r="C12" s="21"/>
      <c r="D12" s="26"/>
      <c r="F12" s="25">
        <f>(H3+H6)/2</f>
        <v>2655.2349999999997</v>
      </c>
      <c r="G12" s="26"/>
      <c r="H12" s="26"/>
      <c r="I12" s="26"/>
      <c r="K12" s="45"/>
    </row>
    <row r="13" spans="1:11" s="24" customFormat="1" x14ac:dyDescent="0.2">
      <c r="A13" s="20" t="s">
        <v>633</v>
      </c>
      <c r="B13" s="20" t="s">
        <v>518</v>
      </c>
      <c r="C13" s="21">
        <v>542.02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626</v>
      </c>
      <c r="B14" s="20" t="s">
        <v>398</v>
      </c>
      <c r="C14" s="21">
        <v>165.33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650</v>
      </c>
      <c r="B15" s="20" t="s">
        <v>401</v>
      </c>
      <c r="C15" s="21">
        <v>14.22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651</v>
      </c>
      <c r="B16" s="20" t="s">
        <v>523</v>
      </c>
      <c r="C16" s="21">
        <v>8.5500000000000007</v>
      </c>
      <c r="D16" s="26"/>
      <c r="F16" s="26"/>
      <c r="I16" s="26"/>
      <c r="J16" s="66"/>
      <c r="K16" s="45"/>
    </row>
    <row r="17" spans="1:11" s="24" customFormat="1" x14ac:dyDescent="0.2">
      <c r="A17" s="20" t="s">
        <v>687</v>
      </c>
      <c r="B17" s="20" t="s">
        <v>400</v>
      </c>
      <c r="C17" s="21">
        <v>366.09</v>
      </c>
      <c r="D17" s="26"/>
      <c r="F17" s="26"/>
      <c r="I17" s="26"/>
      <c r="J17" s="66"/>
      <c r="K17" s="45"/>
    </row>
    <row r="18" spans="1:11" s="24" customFormat="1" x14ac:dyDescent="0.2">
      <c r="A18" s="29"/>
      <c r="B18" s="29"/>
      <c r="C18" s="30"/>
      <c r="D18" s="90"/>
      <c r="F18" s="26"/>
      <c r="I18" s="26"/>
      <c r="J18" s="26"/>
      <c r="K18" s="26"/>
    </row>
    <row r="19" spans="1:11" s="24" customFormat="1" x14ac:dyDescent="0.2">
      <c r="A19" s="32" t="s">
        <v>13</v>
      </c>
      <c r="B19" s="25"/>
      <c r="C19" s="27"/>
      <c r="D19" s="26"/>
      <c r="F19" s="26"/>
      <c r="I19" s="26"/>
      <c r="J19" s="26"/>
      <c r="K19" s="26"/>
    </row>
    <row r="20" spans="1:11" s="24" customFormat="1" x14ac:dyDescent="0.2">
      <c r="A20" s="20" t="s">
        <v>694</v>
      </c>
      <c r="B20" s="20" t="s">
        <v>448</v>
      </c>
      <c r="C20" s="21">
        <v>710.16</v>
      </c>
      <c r="D20" s="26"/>
      <c r="F20" s="51"/>
      <c r="I20" s="26"/>
      <c r="J20" s="26"/>
      <c r="K20" s="26"/>
    </row>
    <row r="21" spans="1:11" s="24" customFormat="1" x14ac:dyDescent="0.2">
      <c r="A21" s="20" t="s">
        <v>267</v>
      </c>
      <c r="B21" s="20" t="s">
        <v>404</v>
      </c>
      <c r="C21" s="55">
        <v>62.31</v>
      </c>
      <c r="D21" s="26"/>
      <c r="F21" s="26"/>
      <c r="J21" s="41"/>
    </row>
    <row r="22" spans="1:11" s="24" customFormat="1" x14ac:dyDescent="0.2">
      <c r="A22" s="20" t="s">
        <v>79</v>
      </c>
      <c r="B22" s="20" t="s">
        <v>390</v>
      </c>
      <c r="C22" s="21">
        <v>243.86</v>
      </c>
      <c r="D22" s="26"/>
      <c r="F22" s="51"/>
    </row>
    <row r="23" spans="1:11" s="24" customFormat="1" x14ac:dyDescent="0.2">
      <c r="A23" s="20" t="s">
        <v>666</v>
      </c>
      <c r="B23" s="20" t="s">
        <v>664</v>
      </c>
      <c r="C23" s="21">
        <v>120.67</v>
      </c>
      <c r="F23" s="26"/>
      <c r="G23" s="111"/>
    </row>
    <row r="24" spans="1:11" s="24" customFormat="1" x14ac:dyDescent="0.2">
      <c r="A24" s="20" t="s">
        <v>302</v>
      </c>
      <c r="B24" s="20" t="s">
        <v>388</v>
      </c>
      <c r="C24" s="21">
        <v>211.98</v>
      </c>
      <c r="G24" s="111"/>
    </row>
    <row r="25" spans="1:11" s="24" customFormat="1" x14ac:dyDescent="0.2">
      <c r="A25" s="20" t="s">
        <v>661</v>
      </c>
      <c r="B25" s="20" t="s">
        <v>440</v>
      </c>
      <c r="C25" s="21">
        <v>342.81</v>
      </c>
      <c r="D25" s="26"/>
      <c r="G25" s="111"/>
    </row>
    <row r="26" spans="1:11" s="24" customFormat="1" x14ac:dyDescent="0.2">
      <c r="A26" s="20" t="s">
        <v>600</v>
      </c>
      <c r="B26" s="109" t="s">
        <v>388</v>
      </c>
      <c r="C26" s="21">
        <v>69</v>
      </c>
      <c r="D26" s="26"/>
      <c r="I26" s="102"/>
    </row>
    <row r="27" spans="1:11" s="24" customFormat="1" x14ac:dyDescent="0.2">
      <c r="A27" s="20" t="s">
        <v>601</v>
      </c>
      <c r="B27" s="20" t="s">
        <v>395</v>
      </c>
      <c r="C27" s="21">
        <v>21.89</v>
      </c>
      <c r="D27" s="26"/>
      <c r="G27" s="51"/>
      <c r="I27" s="102"/>
    </row>
    <row r="28" spans="1:11" s="24" customFormat="1" x14ac:dyDescent="0.2">
      <c r="A28" s="29"/>
      <c r="B28" s="29"/>
      <c r="C28" s="29"/>
      <c r="D28" s="26"/>
      <c r="I28" s="102"/>
    </row>
    <row r="29" spans="1:11" s="24" customFormat="1" x14ac:dyDescent="0.2">
      <c r="A29" s="26"/>
      <c r="B29" s="26"/>
      <c r="C29" s="26"/>
      <c r="D29" s="26"/>
      <c r="G29" s="121"/>
      <c r="I29" s="102"/>
    </row>
    <row r="30" spans="1:11" s="24" customFormat="1" x14ac:dyDescent="0.2">
      <c r="A30" s="26"/>
      <c r="B30" s="26"/>
      <c r="C30" s="26"/>
      <c r="I30" s="102"/>
    </row>
    <row r="31" spans="1:11" s="24" customFormat="1" ht="16" x14ac:dyDescent="0.2">
      <c r="A31" s="137"/>
      <c r="B31" s="137"/>
      <c r="C31" s="26"/>
      <c r="D31" s="26"/>
      <c r="I31" s="52"/>
    </row>
    <row r="32" spans="1:11" s="24" customFormat="1" x14ac:dyDescent="0.2">
      <c r="A32" s="143"/>
      <c r="B32" s="111"/>
      <c r="C32" s="41"/>
      <c r="D32" s="26"/>
      <c r="G32" s="141"/>
      <c r="I32" s="52"/>
    </row>
    <row r="33" spans="1:9" s="24" customFormat="1" x14ac:dyDescent="0.2">
      <c r="A33" s="143"/>
      <c r="B33" s="110"/>
      <c r="D33" s="26"/>
      <c r="G33" s="111"/>
      <c r="H33" s="26"/>
      <c r="I33" s="52"/>
    </row>
    <row r="34" spans="1:9" s="24" customFormat="1" x14ac:dyDescent="0.2">
      <c r="A34" s="143"/>
      <c r="C34" s="41"/>
      <c r="D34" s="26"/>
      <c r="G34" s="142"/>
      <c r="H34" s="26"/>
      <c r="I34" s="52"/>
    </row>
    <row r="35" spans="1:9" s="24" customFormat="1" x14ac:dyDescent="0.2">
      <c r="A35" s="143"/>
      <c r="B35" s="111"/>
      <c r="D35" s="26"/>
      <c r="H35" s="26"/>
      <c r="I35" s="52"/>
    </row>
    <row r="36" spans="1:9" s="24" customFormat="1" x14ac:dyDescent="0.2">
      <c r="A36" s="143"/>
      <c r="B36" s="111"/>
      <c r="C36" s="41"/>
      <c r="D36" s="26"/>
      <c r="E36" s="101"/>
      <c r="G36" s="111"/>
      <c r="H36" s="26"/>
      <c r="I36" s="52"/>
    </row>
    <row r="37" spans="1:9" s="24" customFormat="1" x14ac:dyDescent="0.2">
      <c r="A37" s="143"/>
      <c r="B37" s="121"/>
      <c r="C37" s="41"/>
      <c r="D37" s="26"/>
      <c r="E37" s="101"/>
      <c r="G37" s="111"/>
      <c r="H37" s="26"/>
      <c r="I37" s="26"/>
    </row>
    <row r="38" spans="1:9" s="24" customFormat="1" x14ac:dyDescent="0.2">
      <c r="A38" s="143"/>
      <c r="C38" s="41"/>
      <c r="D38" s="26"/>
      <c r="E38" s="101"/>
      <c r="H38" s="26"/>
      <c r="I38" s="26"/>
    </row>
    <row r="39" spans="1:9" s="24" customFormat="1" x14ac:dyDescent="0.2">
      <c r="D39" s="26"/>
      <c r="E39" s="104"/>
      <c r="H39" s="26"/>
      <c r="I39" s="26"/>
    </row>
    <row r="40" spans="1:9" s="24" customFormat="1" ht="16" x14ac:dyDescent="0.2">
      <c r="A40" s="137" t="s">
        <v>714</v>
      </c>
      <c r="B40" s="137" t="s">
        <v>712</v>
      </c>
      <c r="D40" s="26"/>
      <c r="E40" s="101"/>
      <c r="H40" s="26"/>
      <c r="I40" s="26"/>
    </row>
    <row r="41" spans="1:9" s="24" customFormat="1" x14ac:dyDescent="0.2">
      <c r="A41" s="133" t="s">
        <v>715</v>
      </c>
      <c r="B41" s="134">
        <v>810</v>
      </c>
      <c r="D41" s="26"/>
      <c r="E41" s="101"/>
      <c r="H41" s="26"/>
      <c r="I41" s="26"/>
    </row>
    <row r="42" spans="1:9" s="24" customFormat="1" x14ac:dyDescent="0.2">
      <c r="A42" s="135" t="s">
        <v>716</v>
      </c>
      <c r="B42" s="126">
        <v>1354.12</v>
      </c>
      <c r="H42" s="26"/>
      <c r="I42" s="26"/>
    </row>
    <row r="43" spans="1:9" s="24" customFormat="1" x14ac:dyDescent="0.2">
      <c r="A43" s="135" t="s">
        <v>717</v>
      </c>
      <c r="B43" s="126">
        <v>477.36</v>
      </c>
      <c r="C43" s="26"/>
      <c r="H43" s="26"/>
      <c r="I43" s="26"/>
    </row>
    <row r="44" spans="1:9" s="24" customFormat="1" x14ac:dyDescent="0.2">
      <c r="A44" s="136" t="s">
        <v>718</v>
      </c>
      <c r="B44" s="129">
        <v>1398.05</v>
      </c>
      <c r="C44" s="26"/>
      <c r="H44" s="26"/>
      <c r="I44" s="26"/>
    </row>
    <row r="45" spans="1:9" s="24" customFormat="1" x14ac:dyDescent="0.2">
      <c r="A45" s="26"/>
      <c r="B45" s="140">
        <v>4039.53</v>
      </c>
      <c r="C45" s="26"/>
      <c r="H45" s="26"/>
      <c r="I45" s="26"/>
    </row>
    <row r="46" spans="1:9" s="24" customFormat="1" x14ac:dyDescent="0.2">
      <c r="A46" s="26"/>
      <c r="C46" s="26"/>
      <c r="F46" s="108"/>
      <c r="G46" s="45"/>
      <c r="H46" s="26"/>
      <c r="I46" s="26"/>
    </row>
    <row r="47" spans="1:9" s="24" customFormat="1" x14ac:dyDescent="0.2">
      <c r="F47" s="26"/>
      <c r="G47" s="46"/>
      <c r="H47" s="26"/>
      <c r="I47" s="26"/>
    </row>
    <row r="48" spans="1:9" s="24" customFormat="1" x14ac:dyDescent="0.2">
      <c r="A48" s="26"/>
      <c r="C48" s="26"/>
      <c r="F48" s="26"/>
      <c r="G48" s="46"/>
      <c r="H48" s="26"/>
      <c r="I48" s="26"/>
    </row>
    <row r="49" spans="1:9" s="24" customFormat="1" x14ac:dyDescent="0.2">
      <c r="A49" s="26"/>
      <c r="C49" s="26"/>
      <c r="F49" s="26"/>
      <c r="G49" s="46"/>
      <c r="H49" s="26"/>
      <c r="I49" s="26"/>
    </row>
    <row r="50" spans="1:9" s="24" customFormat="1" x14ac:dyDescent="0.2">
      <c r="A50" s="26"/>
      <c r="C50" s="26"/>
      <c r="F50"/>
      <c r="G50" s="46"/>
      <c r="H50" s="26"/>
      <c r="I50" s="26"/>
    </row>
    <row r="51" spans="1:9" s="24" customFormat="1" x14ac:dyDescent="0.2">
      <c r="F51" s="26"/>
      <c r="G51" s="26"/>
      <c r="H51" s="26"/>
      <c r="I51" s="26"/>
    </row>
    <row r="52" spans="1:9" s="24" customFormat="1" x14ac:dyDescent="0.2">
      <c r="A52" s="26"/>
      <c r="B52" s="26"/>
      <c r="C52"/>
      <c r="F52" s="26"/>
      <c r="G52" s="26"/>
      <c r="I52" s="26"/>
    </row>
    <row r="53" spans="1:9" s="24" customFormat="1" x14ac:dyDescent="0.2">
      <c r="A53" s="91"/>
      <c r="B53" s="26"/>
      <c r="C53"/>
      <c r="F53" s="26"/>
      <c r="G53" s="26"/>
      <c r="I53" s="26"/>
    </row>
    <row r="54" spans="1:9" s="24" customFormat="1" x14ac:dyDescent="0.2">
      <c r="A54" s="91"/>
      <c r="B54"/>
      <c r="C54"/>
      <c r="F54" s="26"/>
      <c r="G54" s="26"/>
      <c r="H54" s="26"/>
    </row>
    <row r="55" spans="1:9" s="24" customFormat="1" x14ac:dyDescent="0.2">
      <c r="A55" s="91"/>
      <c r="B55" s="26"/>
      <c r="C55"/>
      <c r="F55" s="26"/>
      <c r="G55" s="26"/>
      <c r="H55" s="26"/>
    </row>
    <row r="56" spans="1:9" s="26" customFormat="1" x14ac:dyDescent="0.2">
      <c r="A56" s="91"/>
      <c r="C56"/>
    </row>
    <row r="57" spans="1:9" s="26" customFormat="1" x14ac:dyDescent="0.2">
      <c r="A57"/>
      <c r="B57"/>
      <c r="C57"/>
      <c r="H57" s="24"/>
    </row>
    <row r="58" spans="1:9" s="26" customFormat="1" x14ac:dyDescent="0.2">
      <c r="A58"/>
      <c r="B58"/>
      <c r="C58"/>
      <c r="G58" s="24"/>
      <c r="H58" s="24"/>
    </row>
    <row r="59" spans="1:9" s="26" customFormat="1" x14ac:dyDescent="0.2">
      <c r="A59" s="91"/>
      <c r="B59"/>
      <c r="C59"/>
      <c r="H59" s="24"/>
    </row>
    <row r="60" spans="1:9" s="24" customFormat="1" x14ac:dyDescent="0.2">
      <c r="A60" s="91"/>
      <c r="B60"/>
      <c r="C60"/>
      <c r="F60" s="26"/>
      <c r="G60" s="26"/>
      <c r="H60" s="26"/>
      <c r="I60" s="26"/>
    </row>
    <row r="61" spans="1:9" s="26" customFormat="1" x14ac:dyDescent="0.2">
      <c r="A61" s="91"/>
      <c r="B61"/>
      <c r="C61"/>
    </row>
    <row r="62" spans="1:9" s="26" customFormat="1" x14ac:dyDescent="0.2">
      <c r="A62" s="91"/>
      <c r="B62"/>
      <c r="C62"/>
      <c r="H62"/>
    </row>
    <row r="63" spans="1:9" s="26" customFormat="1" x14ac:dyDescent="0.2">
      <c r="A63" s="91"/>
      <c r="B63"/>
      <c r="C63"/>
      <c r="H63"/>
    </row>
    <row r="64" spans="1:9" s="24" customFormat="1" x14ac:dyDescent="0.2">
      <c r="A64" s="91"/>
      <c r="B64"/>
      <c r="C64"/>
      <c r="F64" s="26"/>
      <c r="G64" s="26"/>
      <c r="H64" s="26"/>
      <c r="I64" s="26"/>
    </row>
    <row r="65" spans="1:9" s="24" customFormat="1" x14ac:dyDescent="0.2">
      <c r="A65" s="91"/>
      <c r="B65"/>
      <c r="C65"/>
      <c r="D65" s="26"/>
      <c r="F65"/>
      <c r="G65" s="26"/>
      <c r="H65" s="26"/>
      <c r="I65" s="26"/>
    </row>
    <row r="66" spans="1:9" s="24" customFormat="1" x14ac:dyDescent="0.2">
      <c r="A66" s="91"/>
      <c r="B66"/>
      <c r="C66"/>
      <c r="D66" s="26"/>
      <c r="F66"/>
      <c r="G66" s="26"/>
      <c r="H66"/>
      <c r="I66" s="26"/>
    </row>
    <row r="67" spans="1:9" s="26" customFormat="1" x14ac:dyDescent="0.2">
      <c r="A67" s="91"/>
      <c r="B67"/>
      <c r="C67"/>
      <c r="G67"/>
      <c r="H67"/>
    </row>
    <row r="68" spans="1:9" s="26" customFormat="1" x14ac:dyDescent="0.2">
      <c r="A68" s="91"/>
      <c r="B68"/>
      <c r="C68"/>
      <c r="G68"/>
      <c r="H68"/>
      <c r="I68"/>
    </row>
    <row r="69" spans="1:9" x14ac:dyDescent="0.2">
      <c r="A69" s="91"/>
    </row>
    <row r="70" spans="1:9" x14ac:dyDescent="0.2">
      <c r="A70" s="91"/>
    </row>
    <row r="71" spans="1:9" s="26" customFormat="1" x14ac:dyDescent="0.2">
      <c r="A71" s="91"/>
      <c r="B71"/>
      <c r="C71"/>
      <c r="F71"/>
      <c r="G71"/>
      <c r="H71"/>
      <c r="I71"/>
    </row>
    <row r="72" spans="1:9" s="26" customFormat="1" x14ac:dyDescent="0.2">
      <c r="A72" s="91"/>
      <c r="B72"/>
      <c r="C72"/>
      <c r="F72"/>
      <c r="G72"/>
      <c r="H72"/>
      <c r="I72"/>
    </row>
    <row r="73" spans="1:9" x14ac:dyDescent="0.2">
      <c r="A73" s="91"/>
    </row>
    <row r="74" spans="1:9" x14ac:dyDescent="0.2">
      <c r="A74" s="91"/>
    </row>
    <row r="75" spans="1:9" x14ac:dyDescent="0.2">
      <c r="A75" s="91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DA16-3584-4EAC-A1A8-262753BDDDD6}">
  <dimension ref="A1:K76"/>
  <sheetViews>
    <sheetView workbookViewId="0">
      <selection activeCell="A26" sqref="A26:C26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4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707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3796.66</v>
      </c>
      <c r="C3" s="51">
        <v>3796.66</v>
      </c>
      <c r="F3" s="33">
        <f>B3+B4</f>
        <v>5319.6549999999997</v>
      </c>
      <c r="G3" s="27">
        <f>C9+C10+C11+C12+C13+C14+C15+C16+C17</f>
        <v>3546.16</v>
      </c>
      <c r="H3" s="27">
        <f>F3-G3</f>
        <v>1773.4949999999999</v>
      </c>
    </row>
    <row r="4" spans="1:11" x14ac:dyDescent="0.2">
      <c r="A4" s="26" t="s">
        <v>265</v>
      </c>
      <c r="B4" s="51">
        <v>1522.9949999999999</v>
      </c>
      <c r="C4" s="51">
        <v>1522.9949999999999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5319.6549999999997</v>
      </c>
      <c r="G6" s="27">
        <f>C20+C21+C22+C23+C24+C25+C26+C27+C28</f>
        <v>2032.46</v>
      </c>
      <c r="H6" s="27">
        <f>F6-G6</f>
        <v>3287.1949999999997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2271.33</v>
      </c>
      <c r="D9" s="26"/>
      <c r="F9" s="26"/>
      <c r="H9" s="26"/>
      <c r="I9" s="26"/>
      <c r="J9" s="45"/>
    </row>
    <row r="10" spans="1:11" s="24" customFormat="1" x14ac:dyDescent="0.2">
      <c r="A10" s="20" t="s">
        <v>675</v>
      </c>
      <c r="B10" s="20" t="s">
        <v>389</v>
      </c>
      <c r="C10" s="22">
        <v>80.23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660</v>
      </c>
      <c r="B11" s="20" t="s">
        <v>394</v>
      </c>
      <c r="C11" s="21">
        <v>98.39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653</v>
      </c>
      <c r="B12" s="20" t="s">
        <v>657</v>
      </c>
      <c r="C12" s="21"/>
      <c r="D12" s="26"/>
      <c r="F12" s="25">
        <f>(H3+H6)/2</f>
        <v>2530.3449999999998</v>
      </c>
      <c r="G12" s="26"/>
      <c r="H12" s="26"/>
      <c r="I12" s="26"/>
      <c r="K12" s="45"/>
    </row>
    <row r="13" spans="1:11" s="24" customFormat="1" x14ac:dyDescent="0.2">
      <c r="A13" s="20" t="s">
        <v>633</v>
      </c>
      <c r="B13" s="20" t="s">
        <v>518</v>
      </c>
      <c r="C13" s="21">
        <v>542.02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626</v>
      </c>
      <c r="B14" s="20" t="s">
        <v>398</v>
      </c>
      <c r="C14" s="21">
        <v>165.33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650</v>
      </c>
      <c r="B15" s="20" t="s">
        <v>401</v>
      </c>
      <c r="C15" s="21">
        <v>14.22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651</v>
      </c>
      <c r="B16" s="20" t="s">
        <v>523</v>
      </c>
      <c r="C16" s="21">
        <v>8.5500000000000007</v>
      </c>
      <c r="D16" s="26"/>
      <c r="F16" s="26"/>
      <c r="I16" s="26"/>
      <c r="J16" s="66"/>
      <c r="K16" s="45"/>
    </row>
    <row r="17" spans="1:11" s="24" customFormat="1" x14ac:dyDescent="0.2">
      <c r="A17" s="20" t="s">
        <v>687</v>
      </c>
      <c r="B17" s="20" t="s">
        <v>400</v>
      </c>
      <c r="C17" s="21">
        <v>366.09</v>
      </c>
      <c r="D17" s="26"/>
      <c r="F17" s="26"/>
      <c r="I17" s="26"/>
      <c r="J17" s="66"/>
      <c r="K17" s="45"/>
    </row>
    <row r="18" spans="1:11" s="24" customFormat="1" x14ac:dyDescent="0.2">
      <c r="A18" s="29"/>
      <c r="B18" s="29"/>
      <c r="C18" s="30"/>
      <c r="D18" s="90"/>
      <c r="F18" s="26"/>
      <c r="I18" s="26"/>
      <c r="J18" s="26"/>
      <c r="K18" s="26"/>
    </row>
    <row r="19" spans="1:11" s="24" customFormat="1" x14ac:dyDescent="0.2">
      <c r="A19" s="32" t="s">
        <v>13</v>
      </c>
      <c r="B19" s="25"/>
      <c r="C19" s="27"/>
      <c r="D19" s="26"/>
      <c r="F19" s="26"/>
      <c r="I19" s="26"/>
      <c r="J19" s="26"/>
      <c r="K19" s="26"/>
    </row>
    <row r="20" spans="1:11" s="24" customFormat="1" x14ac:dyDescent="0.2">
      <c r="A20" s="20" t="s">
        <v>694</v>
      </c>
      <c r="B20" s="20" t="s">
        <v>448</v>
      </c>
      <c r="C20" s="21">
        <v>710.16</v>
      </c>
      <c r="D20" s="26"/>
      <c r="F20" s="51"/>
      <c r="I20" s="26"/>
      <c r="J20" s="26"/>
      <c r="K20" s="26"/>
    </row>
    <row r="21" spans="1:11" s="24" customFormat="1" x14ac:dyDescent="0.2">
      <c r="A21" s="20" t="s">
        <v>267</v>
      </c>
      <c r="B21" s="20" t="s">
        <v>404</v>
      </c>
      <c r="C21" s="55">
        <v>47.1</v>
      </c>
      <c r="D21" s="26"/>
      <c r="F21" s="26"/>
      <c r="J21" s="41"/>
    </row>
    <row r="22" spans="1:11" s="24" customFormat="1" x14ac:dyDescent="0.2">
      <c r="A22" s="20" t="s">
        <v>79</v>
      </c>
      <c r="B22" s="20" t="s">
        <v>390</v>
      </c>
      <c r="C22" s="21">
        <v>243.86</v>
      </c>
      <c r="D22" s="26"/>
      <c r="F22" s="51"/>
    </row>
    <row r="23" spans="1:11" s="24" customFormat="1" x14ac:dyDescent="0.2">
      <c r="A23" s="20" t="s">
        <v>666</v>
      </c>
      <c r="B23" s="20" t="s">
        <v>664</v>
      </c>
      <c r="C23" s="21">
        <v>120.67</v>
      </c>
      <c r="F23" s="26"/>
      <c r="G23" s="111"/>
    </row>
    <row r="24" spans="1:11" s="24" customFormat="1" x14ac:dyDescent="0.2">
      <c r="A24" s="20" t="s">
        <v>302</v>
      </c>
      <c r="B24" s="20" t="s">
        <v>388</v>
      </c>
      <c r="C24" s="21">
        <v>226.97</v>
      </c>
      <c r="G24" s="111"/>
    </row>
    <row r="25" spans="1:11" s="24" customFormat="1" x14ac:dyDescent="0.2">
      <c r="A25" s="20" t="s">
        <v>691</v>
      </c>
      <c r="B25" s="20" t="s">
        <v>690</v>
      </c>
      <c r="C25" s="21">
        <v>250</v>
      </c>
      <c r="D25" s="26"/>
      <c r="G25" s="111"/>
    </row>
    <row r="26" spans="1:11" s="24" customFormat="1" x14ac:dyDescent="0.2">
      <c r="A26" s="20" t="s">
        <v>661</v>
      </c>
      <c r="B26" s="20" t="s">
        <v>440</v>
      </c>
      <c r="C26" s="21">
        <v>342.81</v>
      </c>
      <c r="D26" s="26"/>
      <c r="I26" s="102"/>
    </row>
    <row r="27" spans="1:11" s="24" customFormat="1" x14ac:dyDescent="0.2">
      <c r="A27" s="20" t="s">
        <v>600</v>
      </c>
      <c r="B27" s="109" t="s">
        <v>388</v>
      </c>
      <c r="C27" s="21">
        <v>69</v>
      </c>
      <c r="D27" s="26"/>
      <c r="G27" s="51"/>
      <c r="I27" s="102"/>
    </row>
    <row r="28" spans="1:11" s="24" customFormat="1" x14ac:dyDescent="0.2">
      <c r="A28" s="20" t="s">
        <v>601</v>
      </c>
      <c r="B28" s="20" t="s">
        <v>395</v>
      </c>
      <c r="C28" s="21">
        <v>21.89</v>
      </c>
      <c r="D28" s="26"/>
      <c r="I28" s="102"/>
    </row>
    <row r="29" spans="1:11" s="24" customFormat="1" x14ac:dyDescent="0.2">
      <c r="A29" s="29"/>
      <c r="B29" s="29"/>
      <c r="C29" s="29"/>
      <c r="D29" s="26"/>
      <c r="G29" s="121"/>
      <c r="I29" s="102"/>
    </row>
    <row r="30" spans="1:11" s="24" customFormat="1" x14ac:dyDescent="0.2">
      <c r="A30" s="26"/>
      <c r="B30" s="26"/>
      <c r="C30" s="26"/>
      <c r="I30" s="102"/>
    </row>
    <row r="31" spans="1:11" s="24" customFormat="1" x14ac:dyDescent="0.2">
      <c r="A31" s="26"/>
      <c r="B31" s="26"/>
      <c r="C31" s="26"/>
      <c r="D31" s="26"/>
      <c r="I31" s="52"/>
    </row>
    <row r="32" spans="1:11" s="24" customFormat="1" ht="16" x14ac:dyDescent="0.2">
      <c r="A32" s="138" t="s">
        <v>711</v>
      </c>
      <c r="B32" s="138" t="s">
        <v>712</v>
      </c>
      <c r="C32" s="26"/>
      <c r="D32" s="26"/>
      <c r="F32" s="130" t="s">
        <v>708</v>
      </c>
      <c r="G32" s="141"/>
      <c r="I32" s="52"/>
    </row>
    <row r="33" spans="1:9" s="24" customFormat="1" x14ac:dyDescent="0.2">
      <c r="A33" s="122" t="s">
        <v>697</v>
      </c>
      <c r="B33" s="123">
        <v>0</v>
      </c>
      <c r="C33" s="41"/>
      <c r="D33" s="26"/>
      <c r="F33" s="132">
        <v>17144.66</v>
      </c>
      <c r="G33" s="111"/>
      <c r="H33" s="26"/>
      <c r="I33" s="52"/>
    </row>
    <row r="34" spans="1:9" s="24" customFormat="1" x14ac:dyDescent="0.2">
      <c r="A34" s="124" t="s">
        <v>666</v>
      </c>
      <c r="B34" s="125">
        <v>3378.53</v>
      </c>
      <c r="D34" s="26"/>
      <c r="F34" s="131"/>
      <c r="G34" s="142"/>
      <c r="H34" s="26"/>
      <c r="I34" s="52"/>
    </row>
    <row r="35" spans="1:9" s="24" customFormat="1" x14ac:dyDescent="0.2">
      <c r="A35" s="124" t="s">
        <v>691</v>
      </c>
      <c r="B35" s="126">
        <v>0</v>
      </c>
      <c r="C35" s="41" t="s">
        <v>719</v>
      </c>
      <c r="D35" s="26"/>
      <c r="F35" s="130" t="s">
        <v>709</v>
      </c>
      <c r="H35" s="26"/>
      <c r="I35" s="52"/>
    </row>
    <row r="36" spans="1:9" s="24" customFormat="1" x14ac:dyDescent="0.2">
      <c r="A36" s="124" t="s">
        <v>698</v>
      </c>
      <c r="B36" s="127">
        <v>2438</v>
      </c>
      <c r="D36" s="26"/>
      <c r="E36" s="101"/>
      <c r="F36" s="132">
        <f>F33-B3</f>
        <v>13348</v>
      </c>
      <c r="G36" s="111"/>
      <c r="H36" s="26"/>
      <c r="I36" s="52"/>
    </row>
    <row r="37" spans="1:9" s="24" customFormat="1" x14ac:dyDescent="0.2">
      <c r="A37" s="124" t="s">
        <v>699</v>
      </c>
      <c r="B37" s="127">
        <v>0</v>
      </c>
      <c r="C37" s="41"/>
      <c r="D37" s="26"/>
      <c r="E37" s="101"/>
      <c r="F37" s="131"/>
      <c r="G37" s="111"/>
      <c r="H37" s="26"/>
      <c r="I37" s="26"/>
    </row>
    <row r="38" spans="1:9" s="24" customFormat="1" x14ac:dyDescent="0.2">
      <c r="A38" s="124" t="s">
        <v>713</v>
      </c>
      <c r="B38" s="128">
        <v>0</v>
      </c>
      <c r="C38" s="41" t="s">
        <v>720</v>
      </c>
      <c r="D38" s="26"/>
      <c r="E38" s="101"/>
      <c r="F38" s="130" t="s">
        <v>710</v>
      </c>
      <c r="H38" s="26"/>
      <c r="I38" s="26"/>
    </row>
    <row r="39" spans="1:9" s="24" customFormat="1" x14ac:dyDescent="0.2">
      <c r="A39" s="139" t="s">
        <v>206</v>
      </c>
      <c r="B39" s="129">
        <v>0</v>
      </c>
      <c r="C39" s="41"/>
      <c r="D39" s="26"/>
      <c r="E39" s="104"/>
      <c r="F39" s="132">
        <f>F36-800</f>
        <v>12548</v>
      </c>
      <c r="H39" s="26"/>
      <c r="I39" s="26"/>
    </row>
    <row r="40" spans="1:9" s="24" customFormat="1" x14ac:dyDescent="0.2">
      <c r="D40" s="26"/>
      <c r="E40" s="101"/>
      <c r="H40" s="26"/>
      <c r="I40" s="26"/>
    </row>
    <row r="41" spans="1:9" s="24" customFormat="1" ht="16" x14ac:dyDescent="0.2">
      <c r="A41" s="137" t="s">
        <v>714</v>
      </c>
      <c r="B41" s="137" t="s">
        <v>712</v>
      </c>
      <c r="D41" s="26"/>
      <c r="E41" s="101"/>
      <c r="H41" s="26"/>
      <c r="I41" s="26"/>
    </row>
    <row r="42" spans="1:9" s="24" customFormat="1" x14ac:dyDescent="0.2">
      <c r="A42" s="133" t="s">
        <v>715</v>
      </c>
      <c r="B42" s="134">
        <v>810</v>
      </c>
      <c r="H42" s="26"/>
      <c r="I42" s="26"/>
    </row>
    <row r="43" spans="1:9" s="24" customFormat="1" x14ac:dyDescent="0.2">
      <c r="A43" s="135" t="s">
        <v>716</v>
      </c>
      <c r="B43" s="126">
        <v>1354.12</v>
      </c>
      <c r="H43" s="26"/>
      <c r="I43" s="26"/>
    </row>
    <row r="44" spans="1:9" s="24" customFormat="1" x14ac:dyDescent="0.2">
      <c r="A44" s="135" t="s">
        <v>717</v>
      </c>
      <c r="B44" s="126">
        <v>477.36</v>
      </c>
      <c r="C44" s="26"/>
      <c r="H44" s="26"/>
      <c r="I44" s="26"/>
    </row>
    <row r="45" spans="1:9" s="24" customFormat="1" x14ac:dyDescent="0.2">
      <c r="A45" s="136" t="s">
        <v>718</v>
      </c>
      <c r="B45" s="129">
        <v>1398.05</v>
      </c>
      <c r="C45" s="26"/>
      <c r="H45" s="26"/>
      <c r="I45" s="26"/>
    </row>
    <row r="46" spans="1:9" s="24" customFormat="1" x14ac:dyDescent="0.2">
      <c r="A46" s="26"/>
      <c r="B46" s="140">
        <v>4039.53</v>
      </c>
      <c r="C46" s="26"/>
      <c r="F46" s="108"/>
      <c r="G46" s="45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F48" s="26"/>
      <c r="G48" s="46"/>
      <c r="H48" s="26"/>
      <c r="I48" s="26"/>
    </row>
    <row r="49" spans="1:9" s="24" customFormat="1" x14ac:dyDescent="0.2">
      <c r="A49" s="26"/>
      <c r="C49" s="26"/>
      <c r="F49" s="26"/>
      <c r="G49" s="46"/>
      <c r="H49" s="26"/>
      <c r="I49" s="26"/>
    </row>
    <row r="50" spans="1:9" s="24" customFormat="1" x14ac:dyDescent="0.2">
      <c r="A50" s="26"/>
      <c r="C50" s="26"/>
      <c r="F50"/>
      <c r="G50" s="46"/>
      <c r="H50" s="26"/>
      <c r="I50" s="26"/>
    </row>
    <row r="51" spans="1:9" s="24" customFormat="1" x14ac:dyDescent="0.2">
      <c r="A51" s="26"/>
      <c r="C51" s="26"/>
      <c r="F51" s="26"/>
      <c r="G51" s="26"/>
      <c r="H51" s="26"/>
      <c r="I51" s="26"/>
    </row>
    <row r="52" spans="1:9" s="24" customFormat="1" x14ac:dyDescent="0.2">
      <c r="F52" s="26"/>
      <c r="G52" s="26"/>
      <c r="I52" s="26"/>
    </row>
    <row r="53" spans="1:9" s="24" customFormat="1" x14ac:dyDescent="0.2">
      <c r="A53" s="26"/>
      <c r="B53" s="26"/>
      <c r="C53"/>
      <c r="F53" s="26"/>
      <c r="G53" s="26"/>
      <c r="I53" s="26"/>
    </row>
    <row r="54" spans="1:9" s="24" customFormat="1" x14ac:dyDescent="0.2">
      <c r="A54" s="91"/>
      <c r="B54" s="26"/>
      <c r="C54"/>
      <c r="F54" s="26"/>
      <c r="G54" s="26"/>
      <c r="H54" s="26"/>
    </row>
    <row r="55" spans="1:9" s="24" customFormat="1" x14ac:dyDescent="0.2">
      <c r="A55" s="91"/>
      <c r="B55"/>
      <c r="C55"/>
      <c r="F55" s="26"/>
      <c r="G55" s="26"/>
      <c r="H55" s="26"/>
    </row>
    <row r="56" spans="1:9" s="26" customFormat="1" x14ac:dyDescent="0.2">
      <c r="A56" s="91"/>
      <c r="C56"/>
    </row>
    <row r="57" spans="1:9" s="26" customFormat="1" x14ac:dyDescent="0.2">
      <c r="A57" s="91"/>
      <c r="C57"/>
      <c r="H57" s="24"/>
    </row>
    <row r="58" spans="1:9" s="26" customFormat="1" x14ac:dyDescent="0.2">
      <c r="A58"/>
      <c r="B58"/>
      <c r="C58"/>
      <c r="G58" s="24"/>
      <c r="H58" s="24"/>
    </row>
    <row r="59" spans="1:9" s="26" customFormat="1" x14ac:dyDescent="0.2">
      <c r="A59"/>
      <c r="B59"/>
      <c r="C59"/>
      <c r="H59" s="24"/>
    </row>
    <row r="60" spans="1:9" s="24" customFormat="1" x14ac:dyDescent="0.2">
      <c r="A60" s="91"/>
      <c r="B60"/>
      <c r="C60"/>
      <c r="F60" s="26"/>
      <c r="G60" s="26"/>
      <c r="H60" s="26"/>
      <c r="I60" s="26"/>
    </row>
    <row r="61" spans="1:9" s="26" customFormat="1" x14ac:dyDescent="0.2">
      <c r="A61" s="91"/>
      <c r="B61"/>
      <c r="C61"/>
    </row>
    <row r="62" spans="1:9" s="26" customFormat="1" x14ac:dyDescent="0.2">
      <c r="A62" s="91"/>
      <c r="B62"/>
      <c r="C62"/>
      <c r="H62"/>
    </row>
    <row r="63" spans="1:9" s="26" customFormat="1" x14ac:dyDescent="0.2">
      <c r="A63" s="91"/>
      <c r="B63"/>
      <c r="C63"/>
      <c r="H63"/>
    </row>
    <row r="64" spans="1:9" s="24" customFormat="1" x14ac:dyDescent="0.2">
      <c r="A64" s="91"/>
      <c r="B64"/>
      <c r="C64"/>
      <c r="F64" s="26"/>
      <c r="G64" s="26"/>
      <c r="H64" s="26"/>
      <c r="I64" s="26"/>
    </row>
    <row r="65" spans="1:9" s="24" customFormat="1" x14ac:dyDescent="0.2">
      <c r="A65" s="91"/>
      <c r="B65"/>
      <c r="C65"/>
      <c r="D65" s="26"/>
      <c r="F65"/>
      <c r="G65" s="26"/>
      <c r="H65" s="26"/>
      <c r="I65" s="26"/>
    </row>
    <row r="66" spans="1:9" s="24" customFormat="1" x14ac:dyDescent="0.2">
      <c r="A66" s="91"/>
      <c r="B66"/>
      <c r="C66"/>
      <c r="D66" s="26"/>
      <c r="F66"/>
      <c r="G66" s="26"/>
      <c r="H66"/>
      <c r="I66" s="26"/>
    </row>
    <row r="67" spans="1:9" s="26" customFormat="1" x14ac:dyDescent="0.2">
      <c r="A67" s="91"/>
      <c r="B67"/>
      <c r="C67"/>
      <c r="G67"/>
      <c r="H67"/>
    </row>
    <row r="68" spans="1:9" s="26" customFormat="1" x14ac:dyDescent="0.2">
      <c r="A68" s="91"/>
      <c r="B68"/>
      <c r="C68"/>
      <c r="G68"/>
      <c r="H68"/>
      <c r="I68"/>
    </row>
    <row r="69" spans="1:9" x14ac:dyDescent="0.2">
      <c r="A69" s="91"/>
    </row>
    <row r="70" spans="1:9" x14ac:dyDescent="0.2">
      <c r="A70" s="91"/>
    </row>
    <row r="71" spans="1:9" s="26" customFormat="1" x14ac:dyDescent="0.2">
      <c r="A71" s="91"/>
      <c r="B71"/>
      <c r="C71"/>
      <c r="F71"/>
      <c r="G71"/>
      <c r="H71"/>
      <c r="I71"/>
    </row>
    <row r="72" spans="1:9" s="26" customFormat="1" x14ac:dyDescent="0.2">
      <c r="A72" s="91"/>
      <c r="B72"/>
      <c r="C72"/>
      <c r="F72"/>
      <c r="G72"/>
      <c r="H72"/>
      <c r="I72"/>
    </row>
    <row r="73" spans="1:9" x14ac:dyDescent="0.2">
      <c r="A73" s="91"/>
    </row>
    <row r="74" spans="1:9" x14ac:dyDescent="0.2">
      <c r="A74" s="91"/>
    </row>
    <row r="75" spans="1:9" x14ac:dyDescent="0.2">
      <c r="A75" s="91"/>
    </row>
    <row r="76" spans="1:9" x14ac:dyDescent="0.2">
      <c r="A76" s="91"/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DD31-5C61-4291-B97B-DA6917503B86}">
  <dimension ref="A1:K76"/>
  <sheetViews>
    <sheetView workbookViewId="0">
      <selection activeCell="A26" sqref="A26:C26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705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3796.66</v>
      </c>
      <c r="C3" s="51">
        <v>3796.66</v>
      </c>
      <c r="F3" s="33">
        <f>B3+B4</f>
        <v>5273.95</v>
      </c>
      <c r="G3" s="27">
        <f>C9+C10+C11+C12+C13+C14+C15+C16+C17</f>
        <v>3546.16</v>
      </c>
      <c r="H3" s="27">
        <f>F3-G3</f>
        <v>1727.79</v>
      </c>
    </row>
    <row r="4" spans="1:11" x14ac:dyDescent="0.2">
      <c r="A4" s="26" t="s">
        <v>265</v>
      </c>
      <c r="B4" s="51">
        <v>1477.29</v>
      </c>
      <c r="C4" s="51">
        <v>1477.29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5273.95</v>
      </c>
      <c r="G6" s="27">
        <f>C20+C21+C22+C23+C24+C25+C26+C27+C28</f>
        <v>2101.81</v>
      </c>
      <c r="H6" s="27">
        <f>F6-G6</f>
        <v>3172.14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2271.33</v>
      </c>
      <c r="D9" s="26"/>
      <c r="F9" s="26"/>
      <c r="H9" s="26"/>
      <c r="I9" s="26"/>
      <c r="J9" s="45"/>
    </row>
    <row r="10" spans="1:11" s="24" customFormat="1" x14ac:dyDescent="0.2">
      <c r="A10" s="20" t="s">
        <v>675</v>
      </c>
      <c r="B10" s="20" t="s">
        <v>389</v>
      </c>
      <c r="C10" s="22">
        <v>80.23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660</v>
      </c>
      <c r="B11" s="20" t="s">
        <v>394</v>
      </c>
      <c r="C11" s="21">
        <v>98.39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653</v>
      </c>
      <c r="B12" s="20" t="s">
        <v>657</v>
      </c>
      <c r="C12" s="21"/>
      <c r="D12" s="26"/>
      <c r="F12" s="25">
        <f>(H3+H6)/2</f>
        <v>2449.9650000000001</v>
      </c>
      <c r="G12" s="26"/>
      <c r="H12" s="26"/>
      <c r="I12" s="26"/>
      <c r="K12" s="45"/>
    </row>
    <row r="13" spans="1:11" s="24" customFormat="1" x14ac:dyDescent="0.2">
      <c r="A13" s="20" t="s">
        <v>633</v>
      </c>
      <c r="B13" s="20" t="s">
        <v>518</v>
      </c>
      <c r="C13" s="21">
        <v>542.02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626</v>
      </c>
      <c r="B14" s="20" t="s">
        <v>398</v>
      </c>
      <c r="C14" s="21">
        <v>165.33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650</v>
      </c>
      <c r="B15" s="20" t="s">
        <v>401</v>
      </c>
      <c r="C15" s="21">
        <v>14.22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651</v>
      </c>
      <c r="B16" s="20" t="s">
        <v>523</v>
      </c>
      <c r="C16" s="21">
        <v>8.5500000000000007</v>
      </c>
      <c r="D16" s="26"/>
      <c r="F16" s="26"/>
      <c r="I16" s="26"/>
      <c r="J16" s="66"/>
      <c r="K16" s="45"/>
    </row>
    <row r="17" spans="1:11" s="24" customFormat="1" x14ac:dyDescent="0.2">
      <c r="A17" s="20" t="s">
        <v>687</v>
      </c>
      <c r="B17" s="20" t="s">
        <v>400</v>
      </c>
      <c r="C17" s="21">
        <v>366.09</v>
      </c>
      <c r="D17" s="26"/>
      <c r="F17" s="26"/>
      <c r="I17" s="26"/>
      <c r="J17" s="66"/>
      <c r="K17" s="45"/>
    </row>
    <row r="18" spans="1:11" s="24" customFormat="1" x14ac:dyDescent="0.2">
      <c r="A18" s="29"/>
      <c r="B18" s="29"/>
      <c r="C18" s="30"/>
      <c r="D18" s="90"/>
      <c r="F18" s="26"/>
      <c r="I18" s="26"/>
      <c r="J18" s="26"/>
      <c r="K18" s="26"/>
    </row>
    <row r="19" spans="1:11" s="24" customFormat="1" x14ac:dyDescent="0.2">
      <c r="A19" s="32" t="s">
        <v>13</v>
      </c>
      <c r="B19" s="25"/>
      <c r="C19" s="27"/>
      <c r="D19" s="26"/>
      <c r="F19" s="26"/>
      <c r="I19" s="26"/>
      <c r="J19" s="26"/>
      <c r="K19" s="26"/>
    </row>
    <row r="20" spans="1:11" s="24" customFormat="1" x14ac:dyDescent="0.2">
      <c r="A20" s="20" t="s">
        <v>694</v>
      </c>
      <c r="B20" s="20" t="s">
        <v>448</v>
      </c>
      <c r="C20" s="21">
        <v>710.16</v>
      </c>
      <c r="D20" s="26"/>
      <c r="F20" s="51"/>
      <c r="I20" s="26"/>
      <c r="J20" s="26"/>
      <c r="K20" s="26"/>
    </row>
    <row r="21" spans="1:11" s="24" customFormat="1" x14ac:dyDescent="0.2">
      <c r="A21" s="20" t="s">
        <v>267</v>
      </c>
      <c r="B21" s="20" t="s">
        <v>404</v>
      </c>
      <c r="C21" s="55">
        <v>47.1</v>
      </c>
      <c r="D21" s="26"/>
      <c r="F21" s="26"/>
      <c r="J21" s="41"/>
    </row>
    <row r="22" spans="1:11" s="24" customFormat="1" x14ac:dyDescent="0.2">
      <c r="A22" s="20" t="s">
        <v>79</v>
      </c>
      <c r="B22" s="20" t="s">
        <v>390</v>
      </c>
      <c r="C22" s="21">
        <v>243.86</v>
      </c>
      <c r="D22" s="26"/>
      <c r="F22" s="51"/>
    </row>
    <row r="23" spans="1:11" s="24" customFormat="1" x14ac:dyDescent="0.2">
      <c r="A23" s="20" t="s">
        <v>666</v>
      </c>
      <c r="B23" s="20" t="s">
        <v>664</v>
      </c>
      <c r="C23" s="21">
        <v>120.67</v>
      </c>
      <c r="F23" s="26"/>
      <c r="G23" s="111"/>
    </row>
    <row r="24" spans="1:11" s="24" customFormat="1" x14ac:dyDescent="0.2">
      <c r="A24" s="20" t="s">
        <v>302</v>
      </c>
      <c r="B24" s="20" t="s">
        <v>388</v>
      </c>
      <c r="C24" s="21">
        <v>296.32</v>
      </c>
      <c r="F24" s="26"/>
      <c r="G24" s="111"/>
    </row>
    <row r="25" spans="1:11" s="24" customFormat="1" x14ac:dyDescent="0.2">
      <c r="A25" s="20" t="s">
        <v>691</v>
      </c>
      <c r="B25" s="20" t="s">
        <v>690</v>
      </c>
      <c r="C25" s="21">
        <v>250</v>
      </c>
      <c r="D25" s="26"/>
      <c r="F25" s="26"/>
      <c r="G25" s="111"/>
    </row>
    <row r="26" spans="1:11" s="24" customFormat="1" x14ac:dyDescent="0.2">
      <c r="A26" s="20" t="s">
        <v>661</v>
      </c>
      <c r="B26" s="20" t="s">
        <v>440</v>
      </c>
      <c r="C26" s="21">
        <v>342.81</v>
      </c>
      <c r="D26" s="26"/>
      <c r="F26" s="26"/>
      <c r="I26" s="102"/>
    </row>
    <row r="27" spans="1:11" s="24" customFormat="1" x14ac:dyDescent="0.2">
      <c r="A27" s="20" t="s">
        <v>600</v>
      </c>
      <c r="B27" s="109" t="s">
        <v>388</v>
      </c>
      <c r="C27" s="21">
        <v>69</v>
      </c>
      <c r="D27" s="26"/>
      <c r="F27" s="26"/>
      <c r="G27" s="51"/>
      <c r="I27" s="102"/>
    </row>
    <row r="28" spans="1:11" s="24" customFormat="1" x14ac:dyDescent="0.2">
      <c r="A28" s="20" t="s">
        <v>601</v>
      </c>
      <c r="B28" s="20" t="s">
        <v>395</v>
      </c>
      <c r="C28" s="21">
        <v>21.89</v>
      </c>
      <c r="D28" s="26"/>
      <c r="F28" s="26"/>
      <c r="I28" s="102"/>
    </row>
    <row r="29" spans="1:11" s="24" customFormat="1" x14ac:dyDescent="0.2">
      <c r="A29" s="29"/>
      <c r="B29" s="29"/>
      <c r="C29" s="29"/>
      <c r="D29" s="26"/>
      <c r="F29" s="26"/>
      <c r="G29" s="121"/>
      <c r="I29" s="102"/>
    </row>
    <row r="30" spans="1:11" s="24" customFormat="1" x14ac:dyDescent="0.2">
      <c r="A30" s="26"/>
      <c r="B30" s="26"/>
      <c r="C30" s="26"/>
      <c r="F30" s="26"/>
      <c r="I30" s="102"/>
    </row>
    <row r="31" spans="1:11" s="24" customFormat="1" x14ac:dyDescent="0.2">
      <c r="A31" s="26"/>
      <c r="B31" s="26"/>
      <c r="C31" s="26"/>
      <c r="D31" s="26"/>
      <c r="F31" s="26"/>
      <c r="I31" s="52"/>
    </row>
    <row r="32" spans="1:11" s="24" customFormat="1" x14ac:dyDescent="0.2">
      <c r="A32" s="26"/>
      <c r="B32" s="26"/>
      <c r="C32" s="26"/>
      <c r="D32" s="26"/>
      <c r="I32" s="52"/>
    </row>
    <row r="33" spans="1:9" s="24" customFormat="1" x14ac:dyDescent="0.2">
      <c r="D33" s="26"/>
      <c r="G33" s="111"/>
      <c r="H33" s="26"/>
      <c r="I33" s="52"/>
    </row>
    <row r="34" spans="1:9" s="24" customFormat="1" x14ac:dyDescent="0.2">
      <c r="D34" s="26"/>
      <c r="F34" s="52"/>
      <c r="G34" s="110"/>
      <c r="H34" s="26"/>
      <c r="I34" s="52"/>
    </row>
    <row r="35" spans="1:9" s="24" customFormat="1" x14ac:dyDescent="0.2">
      <c r="D35" s="26"/>
      <c r="F35" s="52"/>
      <c r="H35" s="26"/>
      <c r="I35" s="52"/>
    </row>
    <row r="36" spans="1:9" s="24" customFormat="1" x14ac:dyDescent="0.2">
      <c r="D36" s="26"/>
      <c r="E36" s="101"/>
      <c r="F36" s="52"/>
      <c r="G36" s="111"/>
      <c r="H36" s="26"/>
      <c r="I36" s="52"/>
    </row>
    <row r="37" spans="1:9" s="24" customFormat="1" x14ac:dyDescent="0.2">
      <c r="B37" s="41"/>
      <c r="D37" s="26"/>
      <c r="E37" s="101"/>
      <c r="G37" s="111"/>
      <c r="H37" s="26"/>
      <c r="I37" s="26"/>
    </row>
    <row r="38" spans="1:9" s="24" customFormat="1" x14ac:dyDescent="0.2">
      <c r="B38" s="121"/>
      <c r="D38" s="26"/>
      <c r="E38" s="101"/>
      <c r="H38" s="26"/>
      <c r="I38" s="26"/>
    </row>
    <row r="39" spans="1:9" s="24" customFormat="1" x14ac:dyDescent="0.2">
      <c r="D39" s="26"/>
      <c r="E39" s="104"/>
      <c r="H39" s="26"/>
      <c r="I39" s="26"/>
    </row>
    <row r="40" spans="1:9" s="24" customFormat="1" x14ac:dyDescent="0.2">
      <c r="D40" s="26"/>
      <c r="E40" s="101"/>
      <c r="H40" s="26"/>
      <c r="I40" s="26"/>
    </row>
    <row r="41" spans="1:9" s="24" customFormat="1" x14ac:dyDescent="0.2">
      <c r="A41" s="26"/>
      <c r="D41" s="26"/>
      <c r="E41" s="101"/>
      <c r="H41" s="26"/>
      <c r="I41" s="26"/>
    </row>
    <row r="42" spans="1:9" s="24" customFormat="1" x14ac:dyDescent="0.2">
      <c r="A42" s="26"/>
      <c r="H42" s="26"/>
      <c r="I42" s="26"/>
    </row>
    <row r="43" spans="1:9" s="24" customFormat="1" x14ac:dyDescent="0.2">
      <c r="A43" s="26"/>
      <c r="H43" s="26"/>
      <c r="I43" s="26"/>
    </row>
    <row r="44" spans="1:9" s="24" customFormat="1" x14ac:dyDescent="0.2">
      <c r="A44" s="26"/>
      <c r="C44" s="26"/>
      <c r="H44" s="26"/>
      <c r="I44" s="26"/>
    </row>
    <row r="45" spans="1:9" s="24" customFormat="1" x14ac:dyDescent="0.2">
      <c r="A45" s="26"/>
      <c r="C45" s="26"/>
      <c r="H45" s="26"/>
      <c r="I45" s="26"/>
    </row>
    <row r="46" spans="1:9" s="24" customFormat="1" x14ac:dyDescent="0.2">
      <c r="A46" s="26"/>
      <c r="C46" s="26"/>
      <c r="F46" s="108"/>
      <c r="G46" s="45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F48" s="26"/>
      <c r="G48" s="46"/>
      <c r="H48" s="26"/>
      <c r="I48" s="26"/>
    </row>
    <row r="49" spans="1:9" s="24" customFormat="1" x14ac:dyDescent="0.2">
      <c r="A49" s="26"/>
      <c r="C49" s="26"/>
      <c r="F49" s="26"/>
      <c r="G49" s="46"/>
      <c r="H49" s="26"/>
      <c r="I49" s="26"/>
    </row>
    <row r="50" spans="1:9" s="24" customFormat="1" x14ac:dyDescent="0.2">
      <c r="A50" s="26"/>
      <c r="C50" s="26"/>
      <c r="F50"/>
      <c r="G50" s="46"/>
      <c r="H50" s="26"/>
      <c r="I50" s="26"/>
    </row>
    <row r="51" spans="1:9" s="24" customFormat="1" x14ac:dyDescent="0.2">
      <c r="A51" s="26"/>
      <c r="C51" s="26"/>
      <c r="F51" s="26"/>
      <c r="G51" s="26"/>
      <c r="H51" s="26"/>
      <c r="I51" s="26"/>
    </row>
    <row r="52" spans="1:9" s="24" customFormat="1" x14ac:dyDescent="0.2">
      <c r="F52" s="26"/>
      <c r="G52" s="26"/>
      <c r="I52" s="26"/>
    </row>
    <row r="53" spans="1:9" s="24" customFormat="1" x14ac:dyDescent="0.2">
      <c r="A53" s="26"/>
      <c r="B53" s="26"/>
      <c r="C53"/>
      <c r="F53" s="26"/>
      <c r="G53" s="26"/>
      <c r="I53" s="26"/>
    </row>
    <row r="54" spans="1:9" s="24" customFormat="1" x14ac:dyDescent="0.2">
      <c r="A54" s="91"/>
      <c r="B54" s="26"/>
      <c r="C54"/>
      <c r="F54" s="26"/>
      <c r="G54" s="26"/>
      <c r="H54" s="26"/>
    </row>
    <row r="55" spans="1:9" s="24" customFormat="1" x14ac:dyDescent="0.2">
      <c r="A55" s="91"/>
      <c r="B55"/>
      <c r="C55"/>
      <c r="F55" s="26"/>
      <c r="G55" s="26"/>
      <c r="H55" s="26"/>
    </row>
    <row r="56" spans="1:9" s="26" customFormat="1" x14ac:dyDescent="0.2">
      <c r="A56" s="91"/>
      <c r="C56"/>
    </row>
    <row r="57" spans="1:9" s="26" customFormat="1" x14ac:dyDescent="0.2">
      <c r="A57" s="91"/>
      <c r="C57"/>
      <c r="H57" s="24"/>
    </row>
    <row r="58" spans="1:9" s="26" customFormat="1" x14ac:dyDescent="0.2">
      <c r="A58"/>
      <c r="B58"/>
      <c r="C58"/>
      <c r="G58" s="24"/>
      <c r="H58" s="24"/>
    </row>
    <row r="59" spans="1:9" s="26" customFormat="1" x14ac:dyDescent="0.2">
      <c r="A59"/>
      <c r="B59"/>
      <c r="C59"/>
      <c r="H59" s="24"/>
    </row>
    <row r="60" spans="1:9" s="24" customFormat="1" x14ac:dyDescent="0.2">
      <c r="A60" s="91"/>
      <c r="B60"/>
      <c r="C60"/>
      <c r="F60" s="26"/>
      <c r="G60" s="26"/>
      <c r="H60" s="26"/>
      <c r="I60" s="26"/>
    </row>
    <row r="61" spans="1:9" s="26" customFormat="1" x14ac:dyDescent="0.2">
      <c r="A61" s="91"/>
      <c r="B61"/>
      <c r="C61"/>
    </row>
    <row r="62" spans="1:9" s="26" customFormat="1" x14ac:dyDescent="0.2">
      <c r="A62" s="91"/>
      <c r="B62"/>
      <c r="C62"/>
      <c r="H62"/>
    </row>
    <row r="63" spans="1:9" s="26" customFormat="1" x14ac:dyDescent="0.2">
      <c r="A63" s="91"/>
      <c r="B63"/>
      <c r="C63"/>
      <c r="H63"/>
    </row>
    <row r="64" spans="1:9" s="24" customFormat="1" x14ac:dyDescent="0.2">
      <c r="A64" s="91"/>
      <c r="B64"/>
      <c r="C64"/>
      <c r="F64" s="26"/>
      <c r="G64" s="26"/>
      <c r="H64" s="26"/>
      <c r="I64" s="26"/>
    </row>
    <row r="65" spans="1:9" s="24" customFormat="1" x14ac:dyDescent="0.2">
      <c r="A65" s="91"/>
      <c r="B65"/>
      <c r="C65"/>
      <c r="D65" s="26"/>
      <c r="F65"/>
      <c r="G65" s="26"/>
      <c r="H65" s="26"/>
      <c r="I65" s="26"/>
    </row>
    <row r="66" spans="1:9" s="24" customFormat="1" x14ac:dyDescent="0.2">
      <c r="A66" s="91"/>
      <c r="B66"/>
      <c r="C66"/>
      <c r="D66" s="26"/>
      <c r="F66"/>
      <c r="G66" s="26"/>
      <c r="H66"/>
      <c r="I66" s="26"/>
    </row>
    <row r="67" spans="1:9" s="26" customFormat="1" x14ac:dyDescent="0.2">
      <c r="A67" s="91"/>
      <c r="B67"/>
      <c r="C67"/>
      <c r="G67"/>
      <c r="H67"/>
    </row>
    <row r="68" spans="1:9" s="26" customFormat="1" x14ac:dyDescent="0.2">
      <c r="A68" s="91"/>
      <c r="B68"/>
      <c r="C68"/>
      <c r="G68"/>
      <c r="H68"/>
      <c r="I68"/>
    </row>
    <row r="69" spans="1:9" x14ac:dyDescent="0.2">
      <c r="A69" s="91"/>
    </row>
    <row r="70" spans="1:9" x14ac:dyDescent="0.2">
      <c r="A70" s="91"/>
    </row>
    <row r="71" spans="1:9" s="26" customFormat="1" x14ac:dyDescent="0.2">
      <c r="A71" s="91"/>
      <c r="B71"/>
      <c r="C71"/>
      <c r="F71"/>
      <c r="G71"/>
      <c r="H71"/>
      <c r="I71"/>
    </row>
    <row r="72" spans="1:9" s="26" customFormat="1" x14ac:dyDescent="0.2">
      <c r="A72" s="91"/>
      <c r="B72"/>
      <c r="C72"/>
      <c r="F72"/>
      <c r="G72"/>
      <c r="H72"/>
      <c r="I72"/>
    </row>
    <row r="73" spans="1:9" x14ac:dyDescent="0.2">
      <c r="A73" s="91"/>
    </row>
    <row r="74" spans="1:9" x14ac:dyDescent="0.2">
      <c r="A74" s="91"/>
    </row>
    <row r="75" spans="1:9" x14ac:dyDescent="0.2">
      <c r="A75" s="91"/>
    </row>
    <row r="76" spans="1:9" x14ac:dyDescent="0.2">
      <c r="A76" s="91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A93A-234E-4900-93BC-9A7BF9DE90A4}">
  <dimension ref="A1:K76"/>
  <sheetViews>
    <sheetView workbookViewId="0">
      <selection activeCell="A26" sqref="A26:C26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704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3916.75</v>
      </c>
      <c r="C3" s="51">
        <v>3916.75</v>
      </c>
      <c r="F3" s="33">
        <f>B3+B4</f>
        <v>5391.46</v>
      </c>
      <c r="G3" s="27">
        <f>C9+C10+C11+C12+C13+C14+C15+C16+C17</f>
        <v>3546.16</v>
      </c>
      <c r="H3" s="27">
        <f>F3-G3</f>
        <v>1845.3000000000002</v>
      </c>
    </row>
    <row r="4" spans="1:11" x14ac:dyDescent="0.2">
      <c r="A4" s="26" t="s">
        <v>265</v>
      </c>
      <c r="B4" s="51">
        <v>1474.71</v>
      </c>
      <c r="C4" s="51">
        <v>1474.71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5391.46</v>
      </c>
      <c r="G6" s="27">
        <f>C20+C21+C22+C23+C24+C25+C26+C27+C28</f>
        <v>2116.6999999999998</v>
      </c>
      <c r="H6" s="27">
        <f>F6-G6</f>
        <v>3274.76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2271.33</v>
      </c>
      <c r="D9" s="26"/>
      <c r="F9" s="26"/>
      <c r="H9" s="26"/>
      <c r="I9" s="26"/>
      <c r="J9" s="45"/>
    </row>
    <row r="10" spans="1:11" s="24" customFormat="1" x14ac:dyDescent="0.2">
      <c r="A10" s="20" t="s">
        <v>675</v>
      </c>
      <c r="B10" s="20" t="s">
        <v>389</v>
      </c>
      <c r="C10" s="22">
        <v>80.23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660</v>
      </c>
      <c r="B11" s="20" t="s">
        <v>394</v>
      </c>
      <c r="C11" s="21">
        <v>98.39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653</v>
      </c>
      <c r="B12" s="20" t="s">
        <v>657</v>
      </c>
      <c r="C12" s="21"/>
      <c r="D12" s="26"/>
      <c r="F12" s="25">
        <f>(H3+H6)/2</f>
        <v>2560.0300000000002</v>
      </c>
      <c r="G12" s="26"/>
      <c r="H12" s="26"/>
      <c r="I12" s="26"/>
      <c r="K12" s="45"/>
    </row>
    <row r="13" spans="1:11" s="24" customFormat="1" x14ac:dyDescent="0.2">
      <c r="A13" s="20" t="s">
        <v>633</v>
      </c>
      <c r="B13" s="20" t="s">
        <v>518</v>
      </c>
      <c r="C13" s="21">
        <v>542.02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626</v>
      </c>
      <c r="B14" s="20" t="s">
        <v>398</v>
      </c>
      <c r="C14" s="21">
        <v>165.33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650</v>
      </c>
      <c r="B15" s="20" t="s">
        <v>401</v>
      </c>
      <c r="C15" s="21">
        <v>14.22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651</v>
      </c>
      <c r="B16" s="20" t="s">
        <v>523</v>
      </c>
      <c r="C16" s="21">
        <v>8.5500000000000007</v>
      </c>
      <c r="D16" s="26"/>
      <c r="F16" s="26"/>
      <c r="I16" s="26"/>
      <c r="J16" s="66"/>
      <c r="K16" s="45"/>
    </row>
    <row r="17" spans="1:11" s="24" customFormat="1" x14ac:dyDescent="0.2">
      <c r="A17" s="20" t="s">
        <v>687</v>
      </c>
      <c r="B17" s="20" t="s">
        <v>400</v>
      </c>
      <c r="C17" s="21">
        <v>366.09</v>
      </c>
      <c r="D17" s="26"/>
      <c r="F17" s="26"/>
      <c r="I17" s="26"/>
      <c r="J17" s="66"/>
      <c r="K17" s="45"/>
    </row>
    <row r="18" spans="1:11" s="24" customFormat="1" x14ac:dyDescent="0.2">
      <c r="A18" s="29"/>
      <c r="B18" s="29"/>
      <c r="C18" s="30"/>
      <c r="D18" s="90"/>
      <c r="F18" s="26"/>
      <c r="I18" s="26"/>
      <c r="J18" s="26"/>
      <c r="K18" s="26"/>
    </row>
    <row r="19" spans="1:11" s="24" customFormat="1" x14ac:dyDescent="0.2">
      <c r="A19" s="32" t="s">
        <v>13</v>
      </c>
      <c r="B19" s="25"/>
      <c r="C19" s="27"/>
      <c r="D19" s="26"/>
      <c r="F19" s="26"/>
      <c r="I19" s="26"/>
      <c r="J19" s="26"/>
      <c r="K19" s="26"/>
    </row>
    <row r="20" spans="1:11" s="24" customFormat="1" x14ac:dyDescent="0.2">
      <c r="A20" s="20" t="s">
        <v>694</v>
      </c>
      <c r="B20" s="20" t="s">
        <v>448</v>
      </c>
      <c r="C20" s="21">
        <v>710.16</v>
      </c>
      <c r="D20" s="26"/>
      <c r="F20" s="51"/>
      <c r="I20" s="26"/>
      <c r="J20" s="26"/>
      <c r="K20" s="26"/>
    </row>
    <row r="21" spans="1:11" s="24" customFormat="1" x14ac:dyDescent="0.2">
      <c r="A21" s="20" t="s">
        <v>267</v>
      </c>
      <c r="B21" s="20" t="s">
        <v>404</v>
      </c>
      <c r="C21" s="55">
        <v>47.1</v>
      </c>
      <c r="D21" s="26"/>
      <c r="F21" s="26"/>
      <c r="J21" s="41"/>
    </row>
    <row r="22" spans="1:11" s="24" customFormat="1" x14ac:dyDescent="0.2">
      <c r="A22" s="20" t="s">
        <v>79</v>
      </c>
      <c r="B22" s="20" t="s">
        <v>390</v>
      </c>
      <c r="C22" s="21">
        <v>243.86</v>
      </c>
      <c r="D22" s="26"/>
      <c r="F22" s="51"/>
    </row>
    <row r="23" spans="1:11" s="24" customFormat="1" x14ac:dyDescent="0.2">
      <c r="A23" s="20" t="s">
        <v>666</v>
      </c>
      <c r="B23" s="20" t="s">
        <v>664</v>
      </c>
      <c r="C23" s="21">
        <v>120.67</v>
      </c>
      <c r="F23" s="26"/>
      <c r="G23" s="111"/>
    </row>
    <row r="24" spans="1:11" s="24" customFormat="1" x14ac:dyDescent="0.2">
      <c r="A24" s="20" t="s">
        <v>302</v>
      </c>
      <c r="B24" s="20" t="s">
        <v>388</v>
      </c>
      <c r="C24" s="21">
        <v>313.39999999999998</v>
      </c>
      <c r="F24" s="26"/>
      <c r="G24" s="111"/>
    </row>
    <row r="25" spans="1:11" s="24" customFormat="1" x14ac:dyDescent="0.2">
      <c r="A25" s="20" t="s">
        <v>691</v>
      </c>
      <c r="B25" s="20" t="s">
        <v>690</v>
      </c>
      <c r="C25" s="21">
        <v>250</v>
      </c>
      <c r="D25" s="26"/>
      <c r="F25" s="26"/>
      <c r="G25" s="111"/>
    </row>
    <row r="26" spans="1:11" s="24" customFormat="1" x14ac:dyDescent="0.2">
      <c r="A26" s="20" t="s">
        <v>661</v>
      </c>
      <c r="B26" s="20" t="s">
        <v>440</v>
      </c>
      <c r="C26" s="21">
        <v>342.81</v>
      </c>
      <c r="D26" s="26"/>
      <c r="F26" s="26"/>
      <c r="I26" s="102"/>
    </row>
    <row r="27" spans="1:11" s="24" customFormat="1" x14ac:dyDescent="0.2">
      <c r="A27" s="20" t="s">
        <v>600</v>
      </c>
      <c r="B27" s="109" t="s">
        <v>388</v>
      </c>
      <c r="C27" s="21">
        <v>69</v>
      </c>
      <c r="D27" s="26"/>
      <c r="F27" s="26"/>
      <c r="G27" s="51"/>
      <c r="I27" s="102"/>
    </row>
    <row r="28" spans="1:11" s="24" customFormat="1" x14ac:dyDescent="0.2">
      <c r="A28" s="20" t="s">
        <v>601</v>
      </c>
      <c r="B28" s="20" t="s">
        <v>395</v>
      </c>
      <c r="C28" s="21">
        <v>19.7</v>
      </c>
      <c r="D28" s="26"/>
      <c r="F28" s="26"/>
      <c r="I28" s="102"/>
    </row>
    <row r="29" spans="1:11" s="24" customFormat="1" x14ac:dyDescent="0.2">
      <c r="A29" s="29"/>
      <c r="B29" s="29"/>
      <c r="C29" s="29"/>
      <c r="D29" s="26"/>
      <c r="F29" s="26"/>
      <c r="G29" s="121"/>
      <c r="I29" s="102"/>
    </row>
    <row r="30" spans="1:11" s="24" customFormat="1" x14ac:dyDescent="0.2">
      <c r="A30" s="26"/>
      <c r="B30" s="26"/>
      <c r="C30" s="26"/>
      <c r="F30" s="26"/>
      <c r="I30" s="102"/>
    </row>
    <row r="31" spans="1:11" s="24" customFormat="1" x14ac:dyDescent="0.2">
      <c r="A31" s="26"/>
      <c r="B31" s="26"/>
      <c r="C31" s="26"/>
      <c r="D31" s="26"/>
      <c r="F31" s="26"/>
      <c r="I31" s="52"/>
    </row>
    <row r="32" spans="1:11" s="24" customFormat="1" x14ac:dyDescent="0.2">
      <c r="A32" s="26"/>
      <c r="B32" s="26"/>
      <c r="C32" s="26"/>
      <c r="D32" s="26"/>
      <c r="I32" s="52"/>
    </row>
    <row r="33" spans="1:9" s="24" customFormat="1" x14ac:dyDescent="0.2">
      <c r="D33" s="26"/>
      <c r="G33" s="111"/>
      <c r="H33" s="26"/>
      <c r="I33" s="52"/>
    </row>
    <row r="34" spans="1:9" s="24" customFormat="1" x14ac:dyDescent="0.2">
      <c r="D34" s="26"/>
      <c r="F34" s="52"/>
      <c r="G34" s="110"/>
      <c r="H34" s="26"/>
      <c r="I34" s="52"/>
    </row>
    <row r="35" spans="1:9" s="24" customFormat="1" x14ac:dyDescent="0.2">
      <c r="D35" s="26"/>
      <c r="F35" s="52"/>
      <c r="H35" s="26"/>
      <c r="I35" s="52"/>
    </row>
    <row r="36" spans="1:9" s="24" customFormat="1" x14ac:dyDescent="0.2">
      <c r="D36" s="26"/>
      <c r="E36" s="101"/>
      <c r="F36" s="52"/>
      <c r="G36" s="111"/>
      <c r="H36" s="26"/>
      <c r="I36" s="52"/>
    </row>
    <row r="37" spans="1:9" s="24" customFormat="1" x14ac:dyDescent="0.2">
      <c r="B37" s="41"/>
      <c r="D37" s="26"/>
      <c r="E37" s="101"/>
      <c r="G37" s="111"/>
      <c r="H37" s="26"/>
      <c r="I37" s="26"/>
    </row>
    <row r="38" spans="1:9" s="24" customFormat="1" x14ac:dyDescent="0.2">
      <c r="B38" s="121"/>
      <c r="D38" s="26"/>
      <c r="E38" s="101"/>
      <c r="H38" s="26"/>
      <c r="I38" s="26"/>
    </row>
    <row r="39" spans="1:9" s="24" customFormat="1" x14ac:dyDescent="0.2">
      <c r="D39" s="26"/>
      <c r="E39" s="104"/>
      <c r="H39" s="26"/>
      <c r="I39" s="26"/>
    </row>
    <row r="40" spans="1:9" s="24" customFormat="1" x14ac:dyDescent="0.2">
      <c r="D40" s="26"/>
      <c r="E40" s="101"/>
      <c r="H40" s="26"/>
      <c r="I40" s="26"/>
    </row>
    <row r="41" spans="1:9" s="24" customFormat="1" x14ac:dyDescent="0.2">
      <c r="A41" s="26"/>
      <c r="D41" s="26"/>
      <c r="E41" s="101"/>
      <c r="H41" s="26"/>
      <c r="I41" s="26"/>
    </row>
    <row r="42" spans="1:9" s="24" customFormat="1" x14ac:dyDescent="0.2">
      <c r="A42" s="26"/>
      <c r="H42" s="26"/>
      <c r="I42" s="26"/>
    </row>
    <row r="43" spans="1:9" s="24" customFormat="1" x14ac:dyDescent="0.2">
      <c r="A43" s="26"/>
      <c r="H43" s="26"/>
      <c r="I43" s="26"/>
    </row>
    <row r="44" spans="1:9" s="24" customFormat="1" x14ac:dyDescent="0.2">
      <c r="A44" s="26"/>
      <c r="C44" s="26"/>
      <c r="H44" s="26"/>
      <c r="I44" s="26"/>
    </row>
    <row r="45" spans="1:9" s="24" customFormat="1" x14ac:dyDescent="0.2">
      <c r="A45" s="26"/>
      <c r="C45" s="26"/>
      <c r="H45" s="26"/>
      <c r="I45" s="26"/>
    </row>
    <row r="46" spans="1:9" s="24" customFormat="1" x14ac:dyDescent="0.2">
      <c r="A46" s="26"/>
      <c r="C46" s="26"/>
      <c r="F46" s="108"/>
      <c r="G46" s="45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F48" s="26"/>
      <c r="G48" s="46"/>
      <c r="H48" s="26"/>
      <c r="I48" s="26"/>
    </row>
    <row r="49" spans="1:9" s="24" customFormat="1" x14ac:dyDescent="0.2">
      <c r="A49" s="26"/>
      <c r="C49" s="26"/>
      <c r="F49" s="26"/>
      <c r="G49" s="46"/>
      <c r="H49" s="26"/>
      <c r="I49" s="26"/>
    </row>
    <row r="50" spans="1:9" s="24" customFormat="1" x14ac:dyDescent="0.2">
      <c r="A50" s="26"/>
      <c r="C50" s="26"/>
      <c r="F50"/>
      <c r="G50" s="46"/>
      <c r="H50" s="26"/>
      <c r="I50" s="26"/>
    </row>
    <row r="51" spans="1:9" s="24" customFormat="1" x14ac:dyDescent="0.2">
      <c r="A51" s="26"/>
      <c r="C51" s="26"/>
      <c r="F51" s="26"/>
      <c r="G51" s="26"/>
      <c r="H51" s="26"/>
      <c r="I51" s="26"/>
    </row>
    <row r="52" spans="1:9" s="24" customFormat="1" x14ac:dyDescent="0.2">
      <c r="F52" s="26"/>
      <c r="G52" s="26"/>
      <c r="I52" s="26"/>
    </row>
    <row r="53" spans="1:9" s="24" customFormat="1" x14ac:dyDescent="0.2">
      <c r="A53" s="26"/>
      <c r="B53" s="26"/>
      <c r="C53"/>
      <c r="F53" s="26"/>
      <c r="G53" s="26"/>
      <c r="I53" s="26"/>
    </row>
    <row r="54" spans="1:9" s="24" customFormat="1" x14ac:dyDescent="0.2">
      <c r="A54" s="91"/>
      <c r="B54" s="26"/>
      <c r="C54"/>
      <c r="F54" s="26"/>
      <c r="G54" s="26"/>
      <c r="H54" s="26"/>
    </row>
    <row r="55" spans="1:9" s="24" customFormat="1" x14ac:dyDescent="0.2">
      <c r="A55" s="91"/>
      <c r="B55"/>
      <c r="C55"/>
      <c r="F55" s="26"/>
      <c r="G55" s="26"/>
      <c r="H55" s="26"/>
    </row>
    <row r="56" spans="1:9" s="26" customFormat="1" x14ac:dyDescent="0.2">
      <c r="A56" s="91"/>
      <c r="C56"/>
    </row>
    <row r="57" spans="1:9" s="26" customFormat="1" x14ac:dyDescent="0.2">
      <c r="A57" s="91"/>
      <c r="C57"/>
      <c r="H57" s="24"/>
    </row>
    <row r="58" spans="1:9" s="26" customFormat="1" x14ac:dyDescent="0.2">
      <c r="A58"/>
      <c r="B58"/>
      <c r="C58"/>
      <c r="G58" s="24"/>
      <c r="H58" s="24"/>
    </row>
    <row r="59" spans="1:9" s="26" customFormat="1" x14ac:dyDescent="0.2">
      <c r="A59"/>
      <c r="B59"/>
      <c r="C59"/>
      <c r="H59" s="24"/>
    </row>
    <row r="60" spans="1:9" s="24" customFormat="1" x14ac:dyDescent="0.2">
      <c r="A60" s="91"/>
      <c r="B60"/>
      <c r="C60"/>
      <c r="F60" s="26"/>
      <c r="G60" s="26"/>
      <c r="H60" s="26"/>
      <c r="I60" s="26"/>
    </row>
    <row r="61" spans="1:9" s="26" customFormat="1" x14ac:dyDescent="0.2">
      <c r="A61" s="91"/>
      <c r="B61"/>
      <c r="C61"/>
    </row>
    <row r="62" spans="1:9" s="26" customFormat="1" x14ac:dyDescent="0.2">
      <c r="A62" s="91"/>
      <c r="B62"/>
      <c r="C62"/>
      <c r="H62"/>
    </row>
    <row r="63" spans="1:9" s="26" customFormat="1" x14ac:dyDescent="0.2">
      <c r="A63" s="91"/>
      <c r="B63"/>
      <c r="C63"/>
      <c r="H63"/>
    </row>
    <row r="64" spans="1:9" s="24" customFormat="1" x14ac:dyDescent="0.2">
      <c r="A64" s="91"/>
      <c r="B64"/>
      <c r="C64"/>
      <c r="F64" s="26"/>
      <c r="G64" s="26"/>
      <c r="H64" s="26"/>
      <c r="I64" s="26"/>
    </row>
    <row r="65" spans="1:9" s="24" customFormat="1" x14ac:dyDescent="0.2">
      <c r="A65" s="91"/>
      <c r="B65"/>
      <c r="C65"/>
      <c r="D65" s="26"/>
      <c r="F65"/>
      <c r="G65" s="26"/>
      <c r="H65" s="26"/>
      <c r="I65" s="26"/>
    </row>
    <row r="66" spans="1:9" s="24" customFormat="1" x14ac:dyDescent="0.2">
      <c r="A66" s="91"/>
      <c r="B66"/>
      <c r="C66"/>
      <c r="D66" s="26"/>
      <c r="F66"/>
      <c r="G66" s="26"/>
      <c r="H66"/>
      <c r="I66" s="26"/>
    </row>
    <row r="67" spans="1:9" s="26" customFormat="1" x14ac:dyDescent="0.2">
      <c r="A67" s="91"/>
      <c r="B67"/>
      <c r="C67"/>
      <c r="G67"/>
      <c r="H67"/>
    </row>
    <row r="68" spans="1:9" s="26" customFormat="1" x14ac:dyDescent="0.2">
      <c r="A68" s="91"/>
      <c r="B68"/>
      <c r="C68"/>
      <c r="G68"/>
      <c r="H68"/>
      <c r="I68"/>
    </row>
    <row r="69" spans="1:9" x14ac:dyDescent="0.2">
      <c r="A69" s="91"/>
    </row>
    <row r="70" spans="1:9" x14ac:dyDescent="0.2">
      <c r="A70" s="91"/>
    </row>
    <row r="71" spans="1:9" s="26" customFormat="1" x14ac:dyDescent="0.2">
      <c r="A71" s="91"/>
      <c r="B71"/>
      <c r="C71"/>
      <c r="F71"/>
      <c r="G71"/>
      <c r="H71"/>
      <c r="I71"/>
    </row>
    <row r="72" spans="1:9" s="26" customFormat="1" x14ac:dyDescent="0.2">
      <c r="A72" s="91"/>
      <c r="B72"/>
      <c r="C72"/>
      <c r="F72"/>
      <c r="G72"/>
      <c r="H72"/>
      <c r="I72"/>
    </row>
    <row r="73" spans="1:9" x14ac:dyDescent="0.2">
      <c r="A73" s="91"/>
    </row>
    <row r="74" spans="1:9" x14ac:dyDescent="0.2">
      <c r="A74" s="91"/>
    </row>
    <row r="75" spans="1:9" x14ac:dyDescent="0.2">
      <c r="A75" s="91"/>
    </row>
    <row r="76" spans="1:9" x14ac:dyDescent="0.2">
      <c r="A76" s="91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5992-C99C-4BD9-8047-69E7D50D4433}">
  <dimension ref="A1:K78"/>
  <sheetViews>
    <sheetView workbookViewId="0">
      <selection activeCell="C12" sqref="C12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704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3879.35</v>
      </c>
      <c r="C3" s="51">
        <v>3879.35</v>
      </c>
      <c r="F3" s="33">
        <f>B3+B4</f>
        <v>5354.0599999999995</v>
      </c>
      <c r="G3" s="27">
        <f>C9+C10+C11+C12+C13+C14+C15+C16+C17+C18</f>
        <v>3809.16</v>
      </c>
      <c r="H3" s="27">
        <f>F3-G3</f>
        <v>1544.8999999999996</v>
      </c>
    </row>
    <row r="4" spans="1:11" x14ac:dyDescent="0.2">
      <c r="A4" s="26" t="s">
        <v>265</v>
      </c>
      <c r="B4" s="51">
        <v>1474.71</v>
      </c>
      <c r="C4" s="51">
        <v>1474.71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5354.0599999999995</v>
      </c>
      <c r="G6" s="27">
        <f>C21+C22+C23+C24+C25+C26+C27+C28+C29+C30</f>
        <v>2142.86</v>
      </c>
      <c r="H6" s="27">
        <f>F6-G6</f>
        <v>3211.1999999999994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2271.33</v>
      </c>
      <c r="D9" s="26"/>
      <c r="F9" s="26"/>
      <c r="H9" s="26"/>
      <c r="I9" s="26"/>
      <c r="J9" s="45"/>
    </row>
    <row r="10" spans="1:11" s="24" customFormat="1" x14ac:dyDescent="0.2">
      <c r="A10" s="20" t="s">
        <v>675</v>
      </c>
      <c r="B10" s="20" t="s">
        <v>389</v>
      </c>
      <c r="C10" s="22">
        <v>80.23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660</v>
      </c>
      <c r="B11" s="20" t="s">
        <v>394</v>
      </c>
      <c r="C11" s="21">
        <v>98.39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653</v>
      </c>
      <c r="B12" s="20" t="s">
        <v>657</v>
      </c>
      <c r="C12" s="21">
        <v>113</v>
      </c>
      <c r="D12" s="26"/>
      <c r="F12" s="25">
        <f>(H3+H6)/2</f>
        <v>2378.0499999999993</v>
      </c>
      <c r="G12" s="26"/>
      <c r="H12" s="26"/>
      <c r="I12" s="26"/>
      <c r="K12" s="45"/>
    </row>
    <row r="13" spans="1:11" s="24" customFormat="1" x14ac:dyDescent="0.2">
      <c r="A13" s="20" t="s">
        <v>633</v>
      </c>
      <c r="B13" s="20" t="s">
        <v>518</v>
      </c>
      <c r="C13" s="21">
        <v>542.02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626</v>
      </c>
      <c r="B14" s="20" t="s">
        <v>398</v>
      </c>
      <c r="C14" s="21">
        <v>165.33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650</v>
      </c>
      <c r="B15" s="20" t="s">
        <v>401</v>
      </c>
      <c r="C15" s="21">
        <v>14.22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651</v>
      </c>
      <c r="B16" s="20" t="s">
        <v>523</v>
      </c>
      <c r="C16" s="21">
        <v>8.5500000000000007</v>
      </c>
      <c r="D16" s="26"/>
      <c r="F16" s="26"/>
      <c r="I16" s="26"/>
      <c r="J16" s="66"/>
      <c r="K16" s="45"/>
    </row>
    <row r="17" spans="1:11" s="24" customFormat="1" x14ac:dyDescent="0.2">
      <c r="A17" s="20" t="s">
        <v>688</v>
      </c>
      <c r="B17" s="20" t="s">
        <v>689</v>
      </c>
      <c r="C17" s="21">
        <v>150</v>
      </c>
      <c r="D17" s="26"/>
      <c r="F17" s="26"/>
      <c r="I17" s="26"/>
      <c r="J17" s="66"/>
      <c r="K17" s="45"/>
    </row>
    <row r="18" spans="1:11" s="24" customFormat="1" x14ac:dyDescent="0.2">
      <c r="A18" s="20" t="s">
        <v>687</v>
      </c>
      <c r="B18" s="20" t="s">
        <v>400</v>
      </c>
      <c r="C18" s="21">
        <v>366.09</v>
      </c>
      <c r="D18" s="90"/>
      <c r="F18" s="26"/>
      <c r="I18" s="26"/>
      <c r="J18" s="26"/>
      <c r="K18" s="26"/>
    </row>
    <row r="19" spans="1:11" s="24" customFormat="1" x14ac:dyDescent="0.2">
      <c r="A19" s="29"/>
      <c r="B19" s="29"/>
      <c r="C19" s="30"/>
      <c r="D19" s="26"/>
      <c r="F19" s="26"/>
      <c r="I19" s="26"/>
      <c r="J19" s="26"/>
      <c r="K19" s="26"/>
    </row>
    <row r="20" spans="1:11" s="24" customFormat="1" x14ac:dyDescent="0.2">
      <c r="A20" s="32" t="s">
        <v>13</v>
      </c>
      <c r="B20" s="25"/>
      <c r="C20" s="27"/>
      <c r="D20" s="26"/>
      <c r="F20" s="51"/>
      <c r="I20" s="26"/>
      <c r="J20" s="26"/>
      <c r="K20" s="26"/>
    </row>
    <row r="21" spans="1:11" s="24" customFormat="1" x14ac:dyDescent="0.2">
      <c r="A21" s="20" t="s">
        <v>694</v>
      </c>
      <c r="B21" s="20" t="s">
        <v>448</v>
      </c>
      <c r="C21" s="21">
        <v>710.16</v>
      </c>
      <c r="D21" s="26"/>
      <c r="F21" s="26"/>
      <c r="J21" s="41"/>
    </row>
    <row r="22" spans="1:11" s="24" customFormat="1" x14ac:dyDescent="0.2">
      <c r="A22" s="20" t="s">
        <v>267</v>
      </c>
      <c r="B22" s="20" t="s">
        <v>404</v>
      </c>
      <c r="C22" s="55">
        <v>62.5</v>
      </c>
      <c r="D22" s="26"/>
      <c r="F22" s="51"/>
    </row>
    <row r="23" spans="1:11" s="24" customFormat="1" x14ac:dyDescent="0.2">
      <c r="A23" s="20" t="s">
        <v>79</v>
      </c>
      <c r="B23" s="20" t="s">
        <v>390</v>
      </c>
      <c r="C23" s="21">
        <v>243.86</v>
      </c>
      <c r="F23" s="26"/>
      <c r="G23" s="111"/>
    </row>
    <row r="24" spans="1:11" s="24" customFormat="1" x14ac:dyDescent="0.2">
      <c r="A24" s="20" t="s">
        <v>666</v>
      </c>
      <c r="B24" s="20" t="s">
        <v>664</v>
      </c>
      <c r="C24" s="21">
        <v>120.67</v>
      </c>
      <c r="F24" s="26"/>
      <c r="G24" s="111"/>
    </row>
    <row r="25" spans="1:11" s="24" customFormat="1" x14ac:dyDescent="0.2">
      <c r="A25" s="20" t="s">
        <v>302</v>
      </c>
      <c r="B25" s="20" t="s">
        <v>388</v>
      </c>
      <c r="C25" s="21">
        <v>174.16</v>
      </c>
      <c r="D25" s="26"/>
      <c r="F25" s="26"/>
      <c r="G25" s="111"/>
    </row>
    <row r="26" spans="1:11" s="24" customFormat="1" x14ac:dyDescent="0.2">
      <c r="A26" s="20" t="s">
        <v>688</v>
      </c>
      <c r="B26" s="20" t="s">
        <v>690</v>
      </c>
      <c r="C26" s="21">
        <v>150</v>
      </c>
      <c r="D26" s="26"/>
      <c r="F26" s="26"/>
      <c r="I26" s="102"/>
    </row>
    <row r="27" spans="1:11" s="24" customFormat="1" x14ac:dyDescent="0.2">
      <c r="A27" s="20" t="s">
        <v>691</v>
      </c>
      <c r="B27" s="20" t="s">
        <v>690</v>
      </c>
      <c r="C27" s="21">
        <v>250</v>
      </c>
      <c r="D27" s="26"/>
      <c r="F27" s="26"/>
      <c r="G27" s="51"/>
      <c r="I27" s="102"/>
    </row>
    <row r="28" spans="1:11" s="24" customFormat="1" x14ac:dyDescent="0.2">
      <c r="A28" s="20" t="s">
        <v>661</v>
      </c>
      <c r="B28" s="20" t="s">
        <v>440</v>
      </c>
      <c r="C28" s="21">
        <v>342.81</v>
      </c>
      <c r="D28" s="26"/>
      <c r="F28" s="26"/>
      <c r="I28" s="102"/>
    </row>
    <row r="29" spans="1:11" s="24" customFormat="1" x14ac:dyDescent="0.2">
      <c r="A29" s="20" t="s">
        <v>600</v>
      </c>
      <c r="B29" s="109" t="s">
        <v>388</v>
      </c>
      <c r="C29" s="21">
        <v>69</v>
      </c>
      <c r="D29" s="26"/>
      <c r="F29" s="26"/>
      <c r="G29" s="121"/>
      <c r="I29" s="102"/>
    </row>
    <row r="30" spans="1:11" s="24" customFormat="1" x14ac:dyDescent="0.2">
      <c r="A30" s="20" t="s">
        <v>601</v>
      </c>
      <c r="B30" s="20" t="s">
        <v>395</v>
      </c>
      <c r="C30" s="21">
        <v>19.7</v>
      </c>
      <c r="F30" s="26"/>
      <c r="I30" s="102"/>
    </row>
    <row r="31" spans="1:11" s="24" customFormat="1" x14ac:dyDescent="0.2">
      <c r="A31" s="29"/>
      <c r="B31" s="29"/>
      <c r="C31" s="29"/>
      <c r="D31" s="26"/>
      <c r="F31" s="26"/>
      <c r="I31" s="52"/>
    </row>
    <row r="32" spans="1:11" s="24" customFormat="1" x14ac:dyDescent="0.2">
      <c r="A32" s="26"/>
      <c r="B32" s="26"/>
      <c r="C32" s="26"/>
      <c r="D32" s="26"/>
      <c r="I32" s="52"/>
    </row>
    <row r="33" spans="1:9" s="24" customFormat="1" x14ac:dyDescent="0.2">
      <c r="A33" s="26"/>
      <c r="B33" s="26"/>
      <c r="C33" s="26"/>
      <c r="D33" s="26"/>
      <c r="G33" s="111"/>
      <c r="H33" s="26"/>
      <c r="I33" s="52"/>
    </row>
    <row r="34" spans="1:9" s="24" customFormat="1" x14ac:dyDescent="0.2">
      <c r="A34" s="26"/>
      <c r="B34" s="26"/>
      <c r="C34" s="26"/>
      <c r="D34" s="26"/>
      <c r="F34" s="52"/>
      <c r="G34" s="110"/>
      <c r="H34" s="26"/>
      <c r="I34" s="52"/>
    </row>
    <row r="35" spans="1:9" s="24" customFormat="1" x14ac:dyDescent="0.2">
      <c r="D35" s="26"/>
      <c r="F35" s="52"/>
      <c r="H35" s="26"/>
      <c r="I35" s="52"/>
    </row>
    <row r="36" spans="1:9" s="24" customFormat="1" x14ac:dyDescent="0.2">
      <c r="D36" s="26"/>
      <c r="E36" s="101"/>
      <c r="F36" s="52"/>
      <c r="G36" s="111"/>
      <c r="H36" s="26"/>
      <c r="I36" s="52"/>
    </row>
    <row r="37" spans="1:9" s="24" customFormat="1" x14ac:dyDescent="0.2">
      <c r="D37" s="26"/>
      <c r="E37" s="101"/>
      <c r="G37" s="111"/>
      <c r="H37" s="26"/>
      <c r="I37" s="26"/>
    </row>
    <row r="38" spans="1:9" s="24" customFormat="1" x14ac:dyDescent="0.2">
      <c r="D38" s="26"/>
      <c r="E38" s="101"/>
      <c r="H38" s="26"/>
      <c r="I38" s="26"/>
    </row>
    <row r="39" spans="1:9" s="24" customFormat="1" x14ac:dyDescent="0.2">
      <c r="B39" s="41"/>
      <c r="D39" s="26"/>
      <c r="E39" s="104"/>
      <c r="H39" s="26"/>
      <c r="I39" s="26"/>
    </row>
    <row r="40" spans="1:9" s="24" customFormat="1" x14ac:dyDescent="0.2">
      <c r="B40" s="121"/>
      <c r="D40" s="26"/>
      <c r="E40" s="101"/>
      <c r="H40" s="26"/>
      <c r="I40" s="26"/>
    </row>
    <row r="41" spans="1:9" s="24" customFormat="1" x14ac:dyDescent="0.2">
      <c r="D41" s="26"/>
      <c r="E41" s="101"/>
      <c r="H41" s="26"/>
      <c r="I41" s="26"/>
    </row>
    <row r="42" spans="1:9" s="24" customFormat="1" x14ac:dyDescent="0.2">
      <c r="H42" s="26"/>
      <c r="I42" s="26"/>
    </row>
    <row r="43" spans="1:9" s="24" customFormat="1" x14ac:dyDescent="0.2">
      <c r="A43" s="26"/>
      <c r="H43" s="26"/>
      <c r="I43" s="26"/>
    </row>
    <row r="44" spans="1:9" s="24" customFormat="1" x14ac:dyDescent="0.2">
      <c r="A44" s="26"/>
      <c r="H44" s="26"/>
      <c r="I44" s="26"/>
    </row>
    <row r="45" spans="1:9" s="24" customFormat="1" x14ac:dyDescent="0.2">
      <c r="A45" s="26"/>
      <c r="H45" s="26"/>
      <c r="I45" s="26"/>
    </row>
    <row r="46" spans="1:9" s="24" customFormat="1" x14ac:dyDescent="0.2">
      <c r="A46" s="26"/>
      <c r="C46" s="26"/>
      <c r="F46" s="108"/>
      <c r="G46" s="45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A48" s="26"/>
      <c r="C48" s="26"/>
      <c r="F48" s="26"/>
      <c r="G48" s="46"/>
      <c r="H48" s="26"/>
      <c r="I48" s="26"/>
    </row>
    <row r="49" spans="1:9" s="24" customFormat="1" x14ac:dyDescent="0.2">
      <c r="A49" s="26"/>
      <c r="C49" s="26"/>
      <c r="F49" s="26"/>
      <c r="G49" s="46"/>
      <c r="H49" s="26"/>
      <c r="I49" s="26"/>
    </row>
    <row r="50" spans="1:9" s="24" customFormat="1" x14ac:dyDescent="0.2">
      <c r="F50"/>
      <c r="G50" s="46"/>
      <c r="H50" s="26"/>
      <c r="I50" s="26"/>
    </row>
    <row r="51" spans="1:9" s="24" customFormat="1" x14ac:dyDescent="0.2">
      <c r="A51" s="26"/>
      <c r="C51" s="26"/>
      <c r="F51" s="26"/>
      <c r="G51" s="26"/>
      <c r="H51" s="26"/>
      <c r="I51" s="26"/>
    </row>
    <row r="52" spans="1:9" s="24" customFormat="1" x14ac:dyDescent="0.2">
      <c r="A52" s="26"/>
      <c r="C52" s="26"/>
      <c r="F52" s="26"/>
      <c r="G52" s="26"/>
      <c r="I52" s="26"/>
    </row>
    <row r="53" spans="1:9" s="24" customFormat="1" x14ac:dyDescent="0.2">
      <c r="A53" s="26"/>
      <c r="C53" s="26"/>
      <c r="F53" s="26"/>
      <c r="G53" s="26"/>
      <c r="I53" s="26"/>
    </row>
    <row r="54" spans="1:9" s="24" customFormat="1" x14ac:dyDescent="0.2">
      <c r="F54" s="26"/>
      <c r="G54" s="26"/>
      <c r="H54" s="26"/>
    </row>
    <row r="55" spans="1:9" s="24" customFormat="1" x14ac:dyDescent="0.2">
      <c r="A55" s="26"/>
      <c r="B55" s="26"/>
      <c r="C55"/>
      <c r="F55" s="26"/>
      <c r="G55" s="26"/>
      <c r="H55" s="26"/>
    </row>
    <row r="56" spans="1:9" s="26" customFormat="1" x14ac:dyDescent="0.2">
      <c r="A56" s="91"/>
      <c r="C56"/>
    </row>
    <row r="57" spans="1:9" s="26" customFormat="1" x14ac:dyDescent="0.2">
      <c r="A57" s="91"/>
      <c r="B57"/>
      <c r="C57"/>
      <c r="H57" s="24"/>
    </row>
    <row r="58" spans="1:9" s="26" customFormat="1" x14ac:dyDescent="0.2">
      <c r="A58" s="91"/>
      <c r="C58"/>
      <c r="G58" s="24"/>
      <c r="H58" s="24"/>
    </row>
    <row r="59" spans="1:9" s="26" customFormat="1" x14ac:dyDescent="0.2">
      <c r="A59" s="91"/>
      <c r="C59"/>
      <c r="H59" s="24"/>
    </row>
    <row r="60" spans="1:9" s="24" customFormat="1" x14ac:dyDescent="0.2">
      <c r="A60"/>
      <c r="B60"/>
      <c r="C60"/>
      <c r="F60" s="26"/>
      <c r="G60" s="26"/>
      <c r="H60" s="26"/>
      <c r="I60" s="26"/>
    </row>
    <row r="61" spans="1:9" s="26" customFormat="1" x14ac:dyDescent="0.2">
      <c r="A61"/>
      <c r="B61"/>
      <c r="C61"/>
    </row>
    <row r="62" spans="1:9" s="26" customFormat="1" x14ac:dyDescent="0.2">
      <c r="A62" s="91"/>
      <c r="B62"/>
      <c r="C62"/>
      <c r="H62"/>
    </row>
    <row r="63" spans="1:9" s="26" customFormat="1" x14ac:dyDescent="0.2">
      <c r="A63" s="91"/>
      <c r="B63"/>
      <c r="C63"/>
      <c r="H63"/>
    </row>
    <row r="64" spans="1:9" s="24" customFormat="1" x14ac:dyDescent="0.2">
      <c r="A64" s="91"/>
      <c r="B64"/>
      <c r="C64"/>
      <c r="F64" s="26"/>
      <c r="G64" s="26"/>
      <c r="H64" s="26"/>
      <c r="I64" s="26"/>
    </row>
    <row r="65" spans="1:9" s="24" customFormat="1" x14ac:dyDescent="0.2">
      <c r="A65" s="91"/>
      <c r="B65"/>
      <c r="C65"/>
      <c r="D65" s="26"/>
      <c r="F65"/>
      <c r="G65" s="26"/>
      <c r="H65" s="26"/>
      <c r="I65" s="26"/>
    </row>
    <row r="66" spans="1:9" s="24" customFormat="1" x14ac:dyDescent="0.2">
      <c r="A66" s="91"/>
      <c r="B66"/>
      <c r="C66"/>
      <c r="D66" s="26"/>
      <c r="F66"/>
      <c r="G66" s="26"/>
      <c r="H66"/>
      <c r="I66" s="26"/>
    </row>
    <row r="67" spans="1:9" s="26" customFormat="1" x14ac:dyDescent="0.2">
      <c r="A67" s="91"/>
      <c r="B67"/>
      <c r="C67"/>
      <c r="G67"/>
      <c r="H67"/>
    </row>
    <row r="68" spans="1:9" s="26" customFormat="1" x14ac:dyDescent="0.2">
      <c r="A68" s="91"/>
      <c r="B68"/>
      <c r="C68"/>
      <c r="G68"/>
      <c r="H68"/>
      <c r="I68"/>
    </row>
    <row r="69" spans="1:9" x14ac:dyDescent="0.2">
      <c r="A69" s="91"/>
    </row>
    <row r="70" spans="1:9" x14ac:dyDescent="0.2">
      <c r="A70" s="91"/>
    </row>
    <row r="71" spans="1:9" s="26" customFormat="1" x14ac:dyDescent="0.2">
      <c r="A71" s="91"/>
      <c r="B71"/>
      <c r="C71"/>
      <c r="F71"/>
      <c r="G71"/>
      <c r="H71"/>
      <c r="I71"/>
    </row>
    <row r="72" spans="1:9" s="26" customFormat="1" x14ac:dyDescent="0.2">
      <c r="A72" s="91"/>
      <c r="B72"/>
      <c r="C72"/>
      <c r="F72"/>
      <c r="G72"/>
      <c r="H72"/>
      <c r="I72"/>
    </row>
    <row r="73" spans="1:9" x14ac:dyDescent="0.2">
      <c r="A73" s="91"/>
    </row>
    <row r="74" spans="1:9" x14ac:dyDescent="0.2">
      <c r="A74" s="91"/>
    </row>
    <row r="75" spans="1:9" x14ac:dyDescent="0.2">
      <c r="A75" s="91"/>
    </row>
    <row r="76" spans="1:9" x14ac:dyDescent="0.2">
      <c r="A76" s="91"/>
    </row>
    <row r="77" spans="1:9" x14ac:dyDescent="0.2">
      <c r="A77" s="91"/>
    </row>
    <row r="78" spans="1:9" x14ac:dyDescent="0.2">
      <c r="A78" s="91"/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AB79E-FF7B-4851-A1C2-2A02308A0A17}">
  <dimension ref="A1:K78"/>
  <sheetViews>
    <sheetView topLeftCell="A2" workbookViewId="0">
      <selection activeCell="A28" sqref="A28:C28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703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3879.35</v>
      </c>
      <c r="C3" s="51">
        <v>3879.35</v>
      </c>
      <c r="F3" s="33">
        <f>B3+B4</f>
        <v>5354.0599999999995</v>
      </c>
      <c r="G3" s="27">
        <f>C9+C10+C11+C12+C13+C14+C15+C16+C17+C18</f>
        <v>3665.25</v>
      </c>
      <c r="H3" s="27">
        <f>F3-G3</f>
        <v>1688.8099999999995</v>
      </c>
    </row>
    <row r="4" spans="1:11" x14ac:dyDescent="0.2">
      <c r="A4" s="26" t="s">
        <v>265</v>
      </c>
      <c r="B4" s="51">
        <v>1474.71</v>
      </c>
      <c r="C4" s="51">
        <v>1474.71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5354.0599999999995</v>
      </c>
      <c r="G6" s="27">
        <f>C21+C22+C23+C24+C25+C26+C27+C28+C29+C30</f>
        <v>2149.52</v>
      </c>
      <c r="H6" s="27">
        <f>F6-G6</f>
        <v>3204.5399999999995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2271.33</v>
      </c>
      <c r="D9" s="26"/>
      <c r="F9" s="26"/>
      <c r="H9" s="26"/>
      <c r="I9" s="26"/>
      <c r="J9" s="45"/>
    </row>
    <row r="10" spans="1:11" s="24" customFormat="1" x14ac:dyDescent="0.2">
      <c r="A10" s="20" t="s">
        <v>675</v>
      </c>
      <c r="B10" s="20" t="s">
        <v>389</v>
      </c>
      <c r="C10" s="22">
        <v>80.23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660</v>
      </c>
      <c r="B11" s="20" t="s">
        <v>394</v>
      </c>
      <c r="C11" s="21">
        <v>98.39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653</v>
      </c>
      <c r="B12" s="20" t="s">
        <v>657</v>
      </c>
      <c r="C12" s="21"/>
      <c r="D12" s="26"/>
      <c r="F12" s="25">
        <f>(H3+H6)/2</f>
        <v>2446.6749999999993</v>
      </c>
      <c r="G12" s="26"/>
      <c r="H12" s="26"/>
      <c r="I12" s="26"/>
      <c r="K12" s="45"/>
    </row>
    <row r="13" spans="1:11" s="24" customFormat="1" x14ac:dyDescent="0.2">
      <c r="A13" s="20" t="s">
        <v>633</v>
      </c>
      <c r="B13" s="20" t="s">
        <v>518</v>
      </c>
      <c r="C13" s="21">
        <v>542.02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626</v>
      </c>
      <c r="B14" s="20" t="s">
        <v>398</v>
      </c>
      <c r="C14" s="21">
        <v>134.41999999999999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650</v>
      </c>
      <c r="B15" s="20" t="s">
        <v>401</v>
      </c>
      <c r="C15" s="21">
        <v>14.22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651</v>
      </c>
      <c r="B16" s="20" t="s">
        <v>523</v>
      </c>
      <c r="C16" s="21">
        <v>8.5500000000000007</v>
      </c>
      <c r="D16" s="26"/>
      <c r="F16" s="26"/>
      <c r="I16" s="26"/>
      <c r="J16" s="66"/>
      <c r="K16" s="45"/>
    </row>
    <row r="17" spans="1:11" s="24" customFormat="1" x14ac:dyDescent="0.2">
      <c r="A17" s="20" t="s">
        <v>688</v>
      </c>
      <c r="B17" s="20" t="s">
        <v>689</v>
      </c>
      <c r="C17" s="21">
        <v>150</v>
      </c>
      <c r="D17" s="26"/>
      <c r="F17" s="26"/>
      <c r="I17" s="26"/>
      <c r="J17" s="66"/>
      <c r="K17" s="45"/>
    </row>
    <row r="18" spans="1:11" s="24" customFormat="1" x14ac:dyDescent="0.2">
      <c r="A18" s="20" t="s">
        <v>687</v>
      </c>
      <c r="B18" s="20" t="s">
        <v>400</v>
      </c>
      <c r="C18" s="21">
        <v>366.09</v>
      </c>
      <c r="D18" s="90"/>
      <c r="F18" s="26"/>
      <c r="I18" s="26"/>
      <c r="J18" s="26"/>
      <c r="K18" s="26"/>
    </row>
    <row r="19" spans="1:11" s="24" customFormat="1" x14ac:dyDescent="0.2">
      <c r="A19" s="29"/>
      <c r="B19" s="29"/>
      <c r="C19" s="30"/>
      <c r="D19" s="26"/>
      <c r="F19" s="26"/>
      <c r="I19" s="26"/>
      <c r="J19" s="26"/>
      <c r="K19" s="26"/>
    </row>
    <row r="20" spans="1:11" s="24" customFormat="1" x14ac:dyDescent="0.2">
      <c r="A20" s="32" t="s">
        <v>13</v>
      </c>
      <c r="B20" s="25"/>
      <c r="C20" s="27"/>
      <c r="D20" s="26"/>
      <c r="F20" s="51"/>
      <c r="I20" s="26"/>
      <c r="J20" s="26"/>
      <c r="K20" s="26"/>
    </row>
    <row r="21" spans="1:11" s="24" customFormat="1" x14ac:dyDescent="0.2">
      <c r="A21" s="20" t="s">
        <v>694</v>
      </c>
      <c r="B21" s="20" t="s">
        <v>448</v>
      </c>
      <c r="C21" s="21">
        <v>710.16</v>
      </c>
      <c r="D21" s="26"/>
      <c r="F21" s="26"/>
      <c r="J21" s="41"/>
    </row>
    <row r="22" spans="1:11" s="24" customFormat="1" x14ac:dyDescent="0.2">
      <c r="A22" s="20" t="s">
        <v>267</v>
      </c>
      <c r="B22" s="20" t="s">
        <v>404</v>
      </c>
      <c r="C22" s="55">
        <v>57</v>
      </c>
      <c r="D22" s="26"/>
      <c r="F22" s="51"/>
    </row>
    <row r="23" spans="1:11" s="24" customFormat="1" x14ac:dyDescent="0.2">
      <c r="A23" s="20" t="s">
        <v>79</v>
      </c>
      <c r="B23" s="20" t="s">
        <v>390</v>
      </c>
      <c r="C23" s="21">
        <v>243.86</v>
      </c>
      <c r="F23" s="26"/>
      <c r="G23" s="111"/>
    </row>
    <row r="24" spans="1:11" s="24" customFormat="1" x14ac:dyDescent="0.2">
      <c r="A24" s="20" t="s">
        <v>666</v>
      </c>
      <c r="B24" s="20" t="s">
        <v>664</v>
      </c>
      <c r="C24" s="21">
        <v>120.67</v>
      </c>
      <c r="F24" s="26"/>
      <c r="G24" s="111"/>
    </row>
    <row r="25" spans="1:11" s="24" customFormat="1" x14ac:dyDescent="0.2">
      <c r="A25" s="20" t="s">
        <v>302</v>
      </c>
      <c r="B25" s="20" t="s">
        <v>388</v>
      </c>
      <c r="C25" s="21">
        <v>186.32</v>
      </c>
      <c r="D25" s="26"/>
      <c r="F25" s="26"/>
      <c r="G25" s="111"/>
    </row>
    <row r="26" spans="1:11" s="24" customFormat="1" x14ac:dyDescent="0.2">
      <c r="A26" s="20" t="s">
        <v>688</v>
      </c>
      <c r="B26" s="20" t="s">
        <v>690</v>
      </c>
      <c r="C26" s="21">
        <v>150</v>
      </c>
      <c r="D26" s="26"/>
      <c r="F26" s="26"/>
      <c r="I26" s="102"/>
    </row>
    <row r="27" spans="1:11" s="24" customFormat="1" x14ac:dyDescent="0.2">
      <c r="A27" s="20" t="s">
        <v>691</v>
      </c>
      <c r="B27" s="20" t="s">
        <v>690</v>
      </c>
      <c r="C27" s="21">
        <v>250</v>
      </c>
      <c r="D27" s="26"/>
      <c r="F27" s="26"/>
      <c r="G27" s="51"/>
      <c r="I27" s="102"/>
    </row>
    <row r="28" spans="1:11" s="24" customFormat="1" x14ac:dyDescent="0.2">
      <c r="A28" s="20" t="s">
        <v>661</v>
      </c>
      <c r="B28" s="20" t="s">
        <v>440</v>
      </c>
      <c r="C28" s="21">
        <v>342.81</v>
      </c>
      <c r="D28" s="26"/>
      <c r="F28" s="26"/>
      <c r="I28" s="102"/>
    </row>
    <row r="29" spans="1:11" s="24" customFormat="1" x14ac:dyDescent="0.2">
      <c r="A29" s="20" t="s">
        <v>600</v>
      </c>
      <c r="B29" s="109" t="s">
        <v>388</v>
      </c>
      <c r="C29" s="21">
        <v>69</v>
      </c>
      <c r="D29" s="26"/>
      <c r="F29" s="26"/>
      <c r="I29" s="102"/>
    </row>
    <row r="30" spans="1:11" s="24" customFormat="1" x14ac:dyDescent="0.2">
      <c r="A30" s="20" t="s">
        <v>601</v>
      </c>
      <c r="B30" s="20" t="s">
        <v>395</v>
      </c>
      <c r="C30" s="21">
        <v>19.7</v>
      </c>
      <c r="F30" s="26"/>
      <c r="I30" s="102"/>
    </row>
    <row r="31" spans="1:11" s="24" customFormat="1" x14ac:dyDescent="0.2">
      <c r="A31" s="29"/>
      <c r="B31" s="29"/>
      <c r="C31" s="29"/>
      <c r="D31" s="26"/>
      <c r="F31" s="26"/>
      <c r="I31" s="52"/>
    </row>
    <row r="32" spans="1:11" s="24" customFormat="1" x14ac:dyDescent="0.2">
      <c r="A32" s="26"/>
      <c r="B32" s="26"/>
      <c r="C32" s="26"/>
      <c r="D32" s="26"/>
      <c r="I32" s="52"/>
    </row>
    <row r="33" spans="1:9" s="24" customFormat="1" x14ac:dyDescent="0.2">
      <c r="A33" s="26"/>
      <c r="B33" s="26"/>
      <c r="C33" s="26"/>
      <c r="D33" s="26"/>
      <c r="G33" s="111"/>
      <c r="H33" s="26"/>
      <c r="I33" s="52"/>
    </row>
    <row r="34" spans="1:9" s="24" customFormat="1" x14ac:dyDescent="0.2">
      <c r="A34" s="26"/>
      <c r="B34" s="26"/>
      <c r="C34" s="26"/>
      <c r="D34" s="26"/>
      <c r="F34" s="52"/>
      <c r="G34" s="110"/>
      <c r="H34" s="26"/>
      <c r="I34" s="52"/>
    </row>
    <row r="35" spans="1:9" s="24" customFormat="1" x14ac:dyDescent="0.2">
      <c r="D35" s="26"/>
      <c r="F35" s="52"/>
      <c r="H35" s="26"/>
      <c r="I35" s="52"/>
    </row>
    <row r="36" spans="1:9" s="24" customFormat="1" x14ac:dyDescent="0.2">
      <c r="D36" s="26"/>
      <c r="E36" s="101"/>
      <c r="F36" s="52"/>
      <c r="G36" s="111"/>
      <c r="H36" s="26"/>
      <c r="I36" s="52"/>
    </row>
    <row r="37" spans="1:9" s="24" customFormat="1" x14ac:dyDescent="0.2">
      <c r="D37" s="26"/>
      <c r="E37" s="101"/>
      <c r="G37" s="111"/>
      <c r="H37" s="26"/>
      <c r="I37" s="26"/>
    </row>
    <row r="38" spans="1:9" s="24" customFormat="1" x14ac:dyDescent="0.2">
      <c r="D38" s="26"/>
      <c r="E38" s="101"/>
      <c r="H38" s="26"/>
      <c r="I38" s="26"/>
    </row>
    <row r="39" spans="1:9" s="24" customFormat="1" x14ac:dyDescent="0.2">
      <c r="B39" s="41"/>
      <c r="D39" s="26"/>
      <c r="E39" s="104"/>
      <c r="H39" s="26"/>
      <c r="I39" s="26"/>
    </row>
    <row r="40" spans="1:9" s="24" customFormat="1" x14ac:dyDescent="0.2">
      <c r="B40" s="121"/>
      <c r="D40" s="26"/>
      <c r="E40" s="101"/>
      <c r="H40" s="26"/>
      <c r="I40" s="26"/>
    </row>
    <row r="41" spans="1:9" s="24" customFormat="1" x14ac:dyDescent="0.2">
      <c r="D41" s="26"/>
      <c r="E41" s="101"/>
      <c r="H41" s="26"/>
      <c r="I41" s="26"/>
    </row>
    <row r="42" spans="1:9" s="24" customFormat="1" x14ac:dyDescent="0.2">
      <c r="H42" s="26"/>
      <c r="I42" s="26"/>
    </row>
    <row r="43" spans="1:9" s="24" customFormat="1" x14ac:dyDescent="0.2">
      <c r="A43" s="26"/>
      <c r="H43" s="26"/>
      <c r="I43" s="26"/>
    </row>
    <row r="44" spans="1:9" s="24" customFormat="1" x14ac:dyDescent="0.2">
      <c r="A44" s="26"/>
      <c r="H44" s="26"/>
      <c r="I44" s="26"/>
    </row>
    <row r="45" spans="1:9" s="24" customFormat="1" x14ac:dyDescent="0.2">
      <c r="A45" s="26"/>
      <c r="H45" s="26"/>
      <c r="I45" s="26"/>
    </row>
    <row r="46" spans="1:9" s="24" customFormat="1" x14ac:dyDescent="0.2">
      <c r="A46" s="26"/>
      <c r="C46" s="26"/>
      <c r="F46" s="108"/>
      <c r="G46" s="45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A48" s="26"/>
      <c r="C48" s="26"/>
      <c r="F48" s="26"/>
      <c r="G48" s="46"/>
      <c r="H48" s="26"/>
      <c r="I48" s="26"/>
    </row>
    <row r="49" spans="1:9" s="24" customFormat="1" x14ac:dyDescent="0.2">
      <c r="A49" s="26"/>
      <c r="C49" s="26"/>
      <c r="F49" s="26"/>
      <c r="G49" s="46"/>
      <c r="H49" s="26"/>
      <c r="I49" s="26"/>
    </row>
    <row r="50" spans="1:9" s="24" customFormat="1" x14ac:dyDescent="0.2">
      <c r="F50"/>
      <c r="G50" s="46"/>
      <c r="H50" s="26"/>
      <c r="I50" s="26"/>
    </row>
    <row r="51" spans="1:9" s="24" customFormat="1" x14ac:dyDescent="0.2">
      <c r="A51" s="26"/>
      <c r="C51" s="26"/>
      <c r="F51" s="26"/>
      <c r="G51" s="26"/>
      <c r="H51" s="26"/>
      <c r="I51" s="26"/>
    </row>
    <row r="52" spans="1:9" s="24" customFormat="1" x14ac:dyDescent="0.2">
      <c r="A52" s="26"/>
      <c r="C52" s="26"/>
      <c r="F52" s="26"/>
      <c r="G52" s="26"/>
      <c r="I52" s="26"/>
    </row>
    <row r="53" spans="1:9" s="24" customFormat="1" x14ac:dyDescent="0.2">
      <c r="A53" s="26"/>
      <c r="C53" s="26"/>
      <c r="F53" s="26"/>
      <c r="G53" s="26"/>
      <c r="I53" s="26"/>
    </row>
    <row r="54" spans="1:9" s="24" customFormat="1" x14ac:dyDescent="0.2">
      <c r="F54" s="26"/>
      <c r="G54" s="26"/>
      <c r="H54" s="26"/>
    </row>
    <row r="55" spans="1:9" s="24" customFormat="1" x14ac:dyDescent="0.2">
      <c r="A55" s="26"/>
      <c r="B55" s="26"/>
      <c r="C55"/>
      <c r="F55" s="26"/>
      <c r="G55" s="26"/>
      <c r="H55" s="26"/>
    </row>
    <row r="56" spans="1:9" s="26" customFormat="1" x14ac:dyDescent="0.2">
      <c r="A56" s="91"/>
      <c r="C56"/>
    </row>
    <row r="57" spans="1:9" s="26" customFormat="1" x14ac:dyDescent="0.2">
      <c r="A57" s="91"/>
      <c r="B57"/>
      <c r="C57"/>
      <c r="H57" s="24"/>
    </row>
    <row r="58" spans="1:9" s="26" customFormat="1" x14ac:dyDescent="0.2">
      <c r="A58" s="91"/>
      <c r="C58"/>
      <c r="G58" s="24"/>
      <c r="H58" s="24"/>
    </row>
    <row r="59" spans="1:9" s="26" customFormat="1" x14ac:dyDescent="0.2">
      <c r="A59" s="91"/>
      <c r="C59"/>
      <c r="H59" s="24"/>
    </row>
    <row r="60" spans="1:9" s="24" customFormat="1" x14ac:dyDescent="0.2">
      <c r="A60"/>
      <c r="B60"/>
      <c r="C60"/>
      <c r="F60" s="26"/>
      <c r="G60" s="26"/>
      <c r="H60" s="26"/>
      <c r="I60" s="26"/>
    </row>
    <row r="61" spans="1:9" s="26" customFormat="1" x14ac:dyDescent="0.2">
      <c r="A61"/>
      <c r="B61"/>
      <c r="C61"/>
    </row>
    <row r="62" spans="1:9" s="26" customFormat="1" x14ac:dyDescent="0.2">
      <c r="A62" s="91"/>
      <c r="B62"/>
      <c r="C62"/>
      <c r="H62"/>
    </row>
    <row r="63" spans="1:9" s="26" customFormat="1" x14ac:dyDescent="0.2">
      <c r="A63" s="91"/>
      <c r="B63"/>
      <c r="C63"/>
      <c r="H63"/>
    </row>
    <row r="64" spans="1:9" s="24" customFormat="1" x14ac:dyDescent="0.2">
      <c r="A64" s="91"/>
      <c r="B64"/>
      <c r="C64"/>
      <c r="F64" s="26"/>
      <c r="G64" s="26"/>
      <c r="H64" s="26"/>
      <c r="I64" s="26"/>
    </row>
    <row r="65" spans="1:9" s="24" customFormat="1" x14ac:dyDescent="0.2">
      <c r="A65" s="91"/>
      <c r="B65"/>
      <c r="C65"/>
      <c r="D65" s="26"/>
      <c r="F65"/>
      <c r="G65" s="26"/>
      <c r="H65" s="26"/>
      <c r="I65" s="26"/>
    </row>
    <row r="66" spans="1:9" s="24" customFormat="1" x14ac:dyDescent="0.2">
      <c r="A66" s="91"/>
      <c r="B66"/>
      <c r="C66"/>
      <c r="D66" s="26"/>
      <c r="F66"/>
      <c r="G66" s="26"/>
      <c r="H66"/>
      <c r="I66" s="26"/>
    </row>
    <row r="67" spans="1:9" s="26" customFormat="1" x14ac:dyDescent="0.2">
      <c r="A67" s="91"/>
      <c r="B67"/>
      <c r="C67"/>
      <c r="G67"/>
      <c r="H67"/>
    </row>
    <row r="68" spans="1:9" s="26" customFormat="1" x14ac:dyDescent="0.2">
      <c r="A68" s="91"/>
      <c r="B68"/>
      <c r="C68"/>
      <c r="G68"/>
      <c r="H68"/>
      <c r="I68"/>
    </row>
    <row r="69" spans="1:9" x14ac:dyDescent="0.2">
      <c r="A69" s="91"/>
    </row>
    <row r="70" spans="1:9" x14ac:dyDescent="0.2">
      <c r="A70" s="91"/>
    </row>
    <row r="71" spans="1:9" s="26" customFormat="1" x14ac:dyDescent="0.2">
      <c r="A71" s="91"/>
      <c r="B71"/>
      <c r="C71"/>
      <c r="F71"/>
      <c r="G71"/>
      <c r="H71"/>
      <c r="I71"/>
    </row>
    <row r="72" spans="1:9" s="26" customFormat="1" x14ac:dyDescent="0.2">
      <c r="A72" s="91"/>
      <c r="B72"/>
      <c r="C72"/>
      <c r="F72"/>
      <c r="G72"/>
      <c r="H72"/>
      <c r="I72"/>
    </row>
    <row r="73" spans="1:9" x14ac:dyDescent="0.2">
      <c r="A73" s="91"/>
    </row>
    <row r="74" spans="1:9" x14ac:dyDescent="0.2">
      <c r="A74" s="91"/>
    </row>
    <row r="75" spans="1:9" x14ac:dyDescent="0.2">
      <c r="A75" s="91"/>
    </row>
    <row r="76" spans="1:9" x14ac:dyDescent="0.2">
      <c r="A76" s="91"/>
    </row>
    <row r="77" spans="1:9" x14ac:dyDescent="0.2">
      <c r="A77" s="91"/>
    </row>
    <row r="78" spans="1:9" x14ac:dyDescent="0.2">
      <c r="A78" s="91"/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9266-BA48-4A49-A5D8-262BC4FF7C3B}">
  <dimension ref="A1:K78"/>
  <sheetViews>
    <sheetView topLeftCell="A7" workbookViewId="0">
      <selection activeCell="F33" sqref="F33:G37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702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3879.35</v>
      </c>
      <c r="C3" s="51">
        <v>3879.35</v>
      </c>
      <c r="F3" s="33">
        <f>B3+B4</f>
        <v>5354.0599999999995</v>
      </c>
      <c r="G3" s="27">
        <f>C9+C10+C11+C12+C13+C14+C15+C16+C17+C18</f>
        <v>3665.25</v>
      </c>
      <c r="H3" s="27">
        <f>F3-G3</f>
        <v>1688.8099999999995</v>
      </c>
    </row>
    <row r="4" spans="1:11" x14ac:dyDescent="0.2">
      <c r="A4" s="26" t="s">
        <v>265</v>
      </c>
      <c r="B4" s="51">
        <v>1474.71</v>
      </c>
      <c r="C4" s="51">
        <v>1474.71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5354.0599999999995</v>
      </c>
      <c r="G6" s="27">
        <f>C21+C22+C23+C24+C25+C26+C27+C28+C29+C30</f>
        <v>2145.2599999999998</v>
      </c>
      <c r="H6" s="27">
        <f>F6-G6</f>
        <v>3208.7999999999997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2271.33</v>
      </c>
      <c r="D9" s="26"/>
      <c r="F9" s="26"/>
      <c r="H9" s="26"/>
      <c r="I9" s="26"/>
      <c r="J9" s="45"/>
    </row>
    <row r="10" spans="1:11" s="24" customFormat="1" x14ac:dyDescent="0.2">
      <c r="A10" s="20" t="s">
        <v>675</v>
      </c>
      <c r="B10" s="20" t="s">
        <v>389</v>
      </c>
      <c r="C10" s="22">
        <v>80.23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660</v>
      </c>
      <c r="B11" s="20" t="s">
        <v>394</v>
      </c>
      <c r="C11" s="21">
        <v>98.39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653</v>
      </c>
      <c r="B12" s="20" t="s">
        <v>657</v>
      </c>
      <c r="C12" s="21"/>
      <c r="D12" s="26"/>
      <c r="F12" s="25">
        <f>(H3+H6)/2</f>
        <v>2448.8049999999994</v>
      </c>
      <c r="G12" s="26"/>
      <c r="H12" s="26"/>
      <c r="I12" s="26"/>
      <c r="K12" s="45"/>
    </row>
    <row r="13" spans="1:11" s="24" customFormat="1" x14ac:dyDescent="0.2">
      <c r="A13" s="20" t="s">
        <v>633</v>
      </c>
      <c r="B13" s="20" t="s">
        <v>518</v>
      </c>
      <c r="C13" s="21">
        <v>542.02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626</v>
      </c>
      <c r="B14" s="20" t="s">
        <v>398</v>
      </c>
      <c r="C14" s="21">
        <v>134.41999999999999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650</v>
      </c>
      <c r="B15" s="20" t="s">
        <v>401</v>
      </c>
      <c r="C15" s="21">
        <v>14.22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651</v>
      </c>
      <c r="B16" s="20" t="s">
        <v>523</v>
      </c>
      <c r="C16" s="21">
        <v>8.5500000000000007</v>
      </c>
      <c r="D16" s="26"/>
      <c r="F16" s="26"/>
      <c r="I16" s="26"/>
      <c r="J16" s="66"/>
      <c r="K16" s="45"/>
    </row>
    <row r="17" spans="1:11" s="24" customFormat="1" x14ac:dyDescent="0.2">
      <c r="A17" s="20" t="s">
        <v>688</v>
      </c>
      <c r="B17" s="20" t="s">
        <v>689</v>
      </c>
      <c r="C17" s="21">
        <v>150</v>
      </c>
      <c r="D17" s="26"/>
      <c r="F17" s="26"/>
      <c r="I17" s="26"/>
      <c r="J17" s="66"/>
      <c r="K17" s="45"/>
    </row>
    <row r="18" spans="1:11" s="24" customFormat="1" x14ac:dyDescent="0.2">
      <c r="A18" s="20" t="s">
        <v>687</v>
      </c>
      <c r="B18" s="20" t="s">
        <v>400</v>
      </c>
      <c r="C18" s="21">
        <v>366.09</v>
      </c>
      <c r="D18" s="90"/>
      <c r="F18" s="26"/>
      <c r="I18" s="26"/>
      <c r="J18" s="26"/>
      <c r="K18" s="26"/>
    </row>
    <row r="19" spans="1:11" s="24" customFormat="1" x14ac:dyDescent="0.2">
      <c r="A19" s="29"/>
      <c r="B19" s="29"/>
      <c r="C19" s="30"/>
      <c r="D19" s="26"/>
      <c r="F19" s="26"/>
      <c r="I19" s="26"/>
      <c r="J19" s="26"/>
      <c r="K19" s="26"/>
    </row>
    <row r="20" spans="1:11" s="24" customFormat="1" x14ac:dyDescent="0.2">
      <c r="A20" s="32" t="s">
        <v>13</v>
      </c>
      <c r="B20" s="25"/>
      <c r="C20" s="27"/>
      <c r="D20" s="26"/>
      <c r="F20" s="51"/>
      <c r="I20" s="26"/>
      <c r="J20" s="26"/>
      <c r="K20" s="26"/>
    </row>
    <row r="21" spans="1:11" s="24" customFormat="1" x14ac:dyDescent="0.2">
      <c r="A21" s="20" t="s">
        <v>694</v>
      </c>
      <c r="B21" s="20" t="s">
        <v>448</v>
      </c>
      <c r="C21" s="21">
        <v>710.16</v>
      </c>
      <c r="D21" s="26"/>
      <c r="F21" s="26"/>
      <c r="J21" s="41"/>
    </row>
    <row r="22" spans="1:11" s="24" customFormat="1" x14ac:dyDescent="0.2">
      <c r="A22" s="20" t="s">
        <v>267</v>
      </c>
      <c r="B22" s="20" t="s">
        <v>404</v>
      </c>
      <c r="C22" s="55">
        <v>62.63</v>
      </c>
      <c r="D22" s="26"/>
      <c r="F22" s="51"/>
    </row>
    <row r="23" spans="1:11" s="24" customFormat="1" x14ac:dyDescent="0.2">
      <c r="A23" s="20" t="s">
        <v>79</v>
      </c>
      <c r="B23" s="20" t="s">
        <v>390</v>
      </c>
      <c r="C23" s="21">
        <v>210.75</v>
      </c>
      <c r="F23" s="26"/>
      <c r="G23" s="111"/>
    </row>
    <row r="24" spans="1:11" s="24" customFormat="1" x14ac:dyDescent="0.2">
      <c r="A24" s="20" t="s">
        <v>666</v>
      </c>
      <c r="B24" s="20" t="s">
        <v>664</v>
      </c>
      <c r="C24" s="21">
        <v>120.67</v>
      </c>
      <c r="F24" s="26"/>
      <c r="G24" s="111"/>
    </row>
    <row r="25" spans="1:11" s="24" customFormat="1" x14ac:dyDescent="0.2">
      <c r="A25" s="20" t="s">
        <v>302</v>
      </c>
      <c r="B25" s="20" t="s">
        <v>388</v>
      </c>
      <c r="C25" s="21">
        <v>209.54</v>
      </c>
      <c r="D25" s="26"/>
      <c r="F25" s="26"/>
      <c r="G25" s="111"/>
    </row>
    <row r="26" spans="1:11" s="24" customFormat="1" x14ac:dyDescent="0.2">
      <c r="A26" s="20" t="s">
        <v>688</v>
      </c>
      <c r="B26" s="20" t="s">
        <v>690</v>
      </c>
      <c r="C26" s="21">
        <v>150</v>
      </c>
      <c r="D26" s="26"/>
      <c r="F26" s="26"/>
      <c r="I26" s="102"/>
    </row>
    <row r="27" spans="1:11" s="24" customFormat="1" x14ac:dyDescent="0.2">
      <c r="A27" s="20" t="s">
        <v>691</v>
      </c>
      <c r="B27" s="20" t="s">
        <v>690</v>
      </c>
      <c r="C27" s="21">
        <v>250</v>
      </c>
      <c r="D27" s="26"/>
      <c r="F27" s="26"/>
      <c r="G27" s="51"/>
      <c r="I27" s="102"/>
    </row>
    <row r="28" spans="1:11" s="24" customFormat="1" x14ac:dyDescent="0.2">
      <c r="A28" s="20" t="s">
        <v>661</v>
      </c>
      <c r="B28" s="20" t="s">
        <v>440</v>
      </c>
      <c r="C28" s="21">
        <v>342.81</v>
      </c>
      <c r="D28" s="26"/>
      <c r="F28" s="26"/>
      <c r="I28" s="102"/>
    </row>
    <row r="29" spans="1:11" s="24" customFormat="1" x14ac:dyDescent="0.2">
      <c r="A29" s="20" t="s">
        <v>600</v>
      </c>
      <c r="B29" s="109" t="s">
        <v>388</v>
      </c>
      <c r="C29" s="21">
        <v>69</v>
      </c>
      <c r="D29" s="26"/>
      <c r="F29" s="26"/>
      <c r="I29" s="102"/>
    </row>
    <row r="30" spans="1:11" s="24" customFormat="1" x14ac:dyDescent="0.2">
      <c r="A30" s="20" t="s">
        <v>601</v>
      </c>
      <c r="B30" s="20" t="s">
        <v>395</v>
      </c>
      <c r="C30" s="21">
        <v>19.7</v>
      </c>
      <c r="F30" s="26"/>
      <c r="I30" s="102"/>
    </row>
    <row r="31" spans="1:11" s="24" customFormat="1" x14ac:dyDescent="0.2">
      <c r="A31" s="29"/>
      <c r="B31" s="29"/>
      <c r="C31" s="29"/>
      <c r="D31" s="26"/>
      <c r="F31" s="26"/>
      <c r="I31" s="52"/>
    </row>
    <row r="32" spans="1:11" s="24" customFormat="1" x14ac:dyDescent="0.2">
      <c r="A32" s="26"/>
      <c r="B32" s="26"/>
      <c r="C32" s="26"/>
      <c r="D32" s="26"/>
      <c r="I32" s="52"/>
    </row>
    <row r="33" spans="1:9" s="24" customFormat="1" x14ac:dyDescent="0.2">
      <c r="A33" s="26"/>
      <c r="B33" s="26"/>
      <c r="C33" s="26"/>
      <c r="D33" s="26"/>
      <c r="F33" s="24" t="s">
        <v>697</v>
      </c>
      <c r="G33" s="111">
        <v>6166.33</v>
      </c>
      <c r="H33" s="26"/>
      <c r="I33" s="52"/>
    </row>
    <row r="34" spans="1:9" s="24" customFormat="1" x14ac:dyDescent="0.2">
      <c r="A34" s="26"/>
      <c r="B34" s="26"/>
      <c r="C34" s="26"/>
      <c r="D34" s="26"/>
      <c r="F34" s="25" t="s">
        <v>666</v>
      </c>
      <c r="G34" s="110">
        <v>4102.55</v>
      </c>
      <c r="H34" s="26"/>
      <c r="I34" s="52"/>
    </row>
    <row r="35" spans="1:9" s="24" customFormat="1" x14ac:dyDescent="0.2">
      <c r="D35" s="26"/>
      <c r="F35" s="20" t="s">
        <v>691</v>
      </c>
      <c r="G35" s="24">
        <v>397</v>
      </c>
      <c r="H35" s="26"/>
      <c r="I35" s="52"/>
    </row>
    <row r="36" spans="1:9" s="24" customFormat="1" x14ac:dyDescent="0.2">
      <c r="D36" s="26"/>
      <c r="E36" s="101"/>
      <c r="F36" s="25" t="s">
        <v>698</v>
      </c>
      <c r="G36" s="111">
        <v>2852</v>
      </c>
      <c r="H36" s="26"/>
      <c r="I36" s="52"/>
    </row>
    <row r="37" spans="1:9" s="24" customFormat="1" x14ac:dyDescent="0.2">
      <c r="D37" s="26"/>
      <c r="E37" s="101"/>
      <c r="F37" s="24" t="s">
        <v>699</v>
      </c>
      <c r="G37" s="111">
        <v>0</v>
      </c>
      <c r="H37" s="26"/>
      <c r="I37" s="26"/>
    </row>
    <row r="38" spans="1:9" s="24" customFormat="1" x14ac:dyDescent="0.2">
      <c r="D38" s="26"/>
      <c r="E38" s="101"/>
      <c r="H38" s="26"/>
      <c r="I38" s="26"/>
    </row>
    <row r="39" spans="1:9" s="24" customFormat="1" x14ac:dyDescent="0.2">
      <c r="B39" s="41"/>
      <c r="D39" s="26"/>
      <c r="E39" s="104"/>
      <c r="H39" s="26"/>
      <c r="I39" s="26"/>
    </row>
    <row r="40" spans="1:9" s="24" customFormat="1" x14ac:dyDescent="0.2">
      <c r="B40" s="121"/>
      <c r="D40" s="26"/>
      <c r="E40" s="101"/>
      <c r="H40" s="26"/>
      <c r="I40" s="26"/>
    </row>
    <row r="41" spans="1:9" s="24" customFormat="1" x14ac:dyDescent="0.2">
      <c r="D41" s="26"/>
      <c r="E41" s="101"/>
      <c r="H41" s="26"/>
      <c r="I41" s="26"/>
    </row>
    <row r="42" spans="1:9" s="24" customFormat="1" x14ac:dyDescent="0.2">
      <c r="H42" s="26"/>
      <c r="I42" s="26"/>
    </row>
    <row r="43" spans="1:9" s="24" customFormat="1" x14ac:dyDescent="0.2">
      <c r="A43" s="26"/>
      <c r="H43" s="26"/>
      <c r="I43" s="26"/>
    </row>
    <row r="44" spans="1:9" s="24" customFormat="1" x14ac:dyDescent="0.2">
      <c r="A44" s="26"/>
      <c r="H44" s="26"/>
      <c r="I44" s="26"/>
    </row>
    <row r="45" spans="1:9" s="24" customFormat="1" x14ac:dyDescent="0.2">
      <c r="A45" s="26"/>
      <c r="H45" s="26"/>
      <c r="I45" s="26"/>
    </row>
    <row r="46" spans="1:9" s="24" customFormat="1" x14ac:dyDescent="0.2">
      <c r="A46" s="26"/>
      <c r="C46" s="26"/>
      <c r="F46" s="108"/>
      <c r="G46" s="45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A48" s="26"/>
      <c r="C48" s="26"/>
      <c r="F48" s="26"/>
      <c r="G48" s="46"/>
      <c r="H48" s="26"/>
      <c r="I48" s="26"/>
    </row>
    <row r="49" spans="1:9" s="24" customFormat="1" x14ac:dyDescent="0.2">
      <c r="A49" s="26"/>
      <c r="C49" s="26"/>
      <c r="F49" s="26"/>
      <c r="G49" s="46"/>
      <c r="H49" s="26"/>
      <c r="I49" s="26"/>
    </row>
    <row r="50" spans="1:9" s="24" customFormat="1" x14ac:dyDescent="0.2">
      <c r="F50"/>
      <c r="G50" s="46"/>
      <c r="H50" s="26"/>
      <c r="I50" s="26"/>
    </row>
    <row r="51" spans="1:9" s="24" customFormat="1" x14ac:dyDescent="0.2">
      <c r="A51" s="26"/>
      <c r="C51" s="26"/>
      <c r="F51" s="26"/>
      <c r="G51" s="26"/>
      <c r="H51" s="26"/>
      <c r="I51" s="26"/>
    </row>
    <row r="52" spans="1:9" s="24" customFormat="1" x14ac:dyDescent="0.2">
      <c r="A52" s="26"/>
      <c r="C52" s="26"/>
      <c r="F52" s="26"/>
      <c r="G52" s="26"/>
      <c r="I52" s="26"/>
    </row>
    <row r="53" spans="1:9" s="24" customFormat="1" x14ac:dyDescent="0.2">
      <c r="A53" s="26"/>
      <c r="C53" s="26"/>
      <c r="F53" s="26"/>
      <c r="G53" s="26"/>
      <c r="I53" s="26"/>
    </row>
    <row r="54" spans="1:9" s="24" customFormat="1" x14ac:dyDescent="0.2">
      <c r="F54" s="26"/>
      <c r="G54" s="26"/>
      <c r="H54" s="26"/>
    </row>
    <row r="55" spans="1:9" s="24" customFormat="1" x14ac:dyDescent="0.2">
      <c r="A55" s="26"/>
      <c r="B55" s="26"/>
      <c r="C55"/>
      <c r="F55" s="26"/>
      <c r="G55" s="26"/>
      <c r="H55" s="26"/>
    </row>
    <row r="56" spans="1:9" s="26" customFormat="1" x14ac:dyDescent="0.2">
      <c r="A56" s="91"/>
      <c r="C56"/>
    </row>
    <row r="57" spans="1:9" s="26" customFormat="1" x14ac:dyDescent="0.2">
      <c r="A57" s="91"/>
      <c r="B57"/>
      <c r="C57"/>
      <c r="H57" s="24"/>
    </row>
    <row r="58" spans="1:9" s="26" customFormat="1" x14ac:dyDescent="0.2">
      <c r="A58" s="91"/>
      <c r="C58"/>
      <c r="G58" s="24"/>
      <c r="H58" s="24"/>
    </row>
    <row r="59" spans="1:9" s="26" customFormat="1" x14ac:dyDescent="0.2">
      <c r="A59" s="91"/>
      <c r="C59"/>
      <c r="H59" s="24"/>
    </row>
    <row r="60" spans="1:9" s="24" customFormat="1" x14ac:dyDescent="0.2">
      <c r="A60"/>
      <c r="B60"/>
      <c r="C60"/>
      <c r="F60" s="26"/>
      <c r="G60" s="26"/>
      <c r="H60" s="26"/>
      <c r="I60" s="26"/>
    </row>
    <row r="61" spans="1:9" s="26" customFormat="1" x14ac:dyDescent="0.2">
      <c r="A61"/>
      <c r="B61"/>
      <c r="C61"/>
    </row>
    <row r="62" spans="1:9" s="26" customFormat="1" x14ac:dyDescent="0.2">
      <c r="A62" s="91"/>
      <c r="B62"/>
      <c r="C62"/>
      <c r="H62"/>
    </row>
    <row r="63" spans="1:9" s="26" customFormat="1" x14ac:dyDescent="0.2">
      <c r="A63" s="91"/>
      <c r="B63"/>
      <c r="C63"/>
      <c r="H63"/>
    </row>
    <row r="64" spans="1:9" s="24" customFormat="1" x14ac:dyDescent="0.2">
      <c r="A64" s="91"/>
      <c r="B64"/>
      <c r="C64"/>
      <c r="F64" s="26"/>
      <c r="G64" s="26"/>
      <c r="H64" s="26"/>
      <c r="I64" s="26"/>
    </row>
    <row r="65" spans="1:9" s="24" customFormat="1" x14ac:dyDescent="0.2">
      <c r="A65" s="91"/>
      <c r="B65"/>
      <c r="C65"/>
      <c r="D65" s="26"/>
      <c r="F65"/>
      <c r="G65" s="26"/>
      <c r="H65" s="26"/>
      <c r="I65" s="26"/>
    </row>
    <row r="66" spans="1:9" s="24" customFormat="1" x14ac:dyDescent="0.2">
      <c r="A66" s="91"/>
      <c r="B66"/>
      <c r="C66"/>
      <c r="D66" s="26"/>
      <c r="F66"/>
      <c r="G66" s="26"/>
      <c r="H66"/>
      <c r="I66" s="26"/>
    </row>
    <row r="67" spans="1:9" s="26" customFormat="1" x14ac:dyDescent="0.2">
      <c r="A67" s="91"/>
      <c r="B67"/>
      <c r="C67"/>
      <c r="G67"/>
      <c r="H67"/>
    </row>
    <row r="68" spans="1:9" s="26" customFormat="1" x14ac:dyDescent="0.2">
      <c r="A68" s="91"/>
      <c r="B68"/>
      <c r="C68"/>
      <c r="G68"/>
      <c r="H68"/>
      <c r="I68"/>
    </row>
    <row r="69" spans="1:9" x14ac:dyDescent="0.2">
      <c r="A69" s="91"/>
    </row>
    <row r="70" spans="1:9" x14ac:dyDescent="0.2">
      <c r="A70" s="91"/>
    </row>
    <row r="71" spans="1:9" s="26" customFormat="1" x14ac:dyDescent="0.2">
      <c r="A71" s="91"/>
      <c r="B71"/>
      <c r="C71"/>
      <c r="F71"/>
      <c r="G71"/>
      <c r="H71"/>
      <c r="I71"/>
    </row>
    <row r="72" spans="1:9" s="26" customFormat="1" x14ac:dyDescent="0.2">
      <c r="A72" s="91"/>
      <c r="B72"/>
      <c r="C72"/>
      <c r="F72"/>
      <c r="G72"/>
      <c r="H72"/>
      <c r="I72"/>
    </row>
    <row r="73" spans="1:9" x14ac:dyDescent="0.2">
      <c r="A73" s="91"/>
    </row>
    <row r="74" spans="1:9" x14ac:dyDescent="0.2">
      <c r="A74" s="91"/>
    </row>
    <row r="75" spans="1:9" x14ac:dyDescent="0.2">
      <c r="A75" s="91"/>
    </row>
    <row r="76" spans="1:9" x14ac:dyDescent="0.2">
      <c r="A76" s="91"/>
    </row>
    <row r="77" spans="1:9" x14ac:dyDescent="0.2">
      <c r="A77" s="91"/>
    </row>
    <row r="78" spans="1:9" x14ac:dyDescent="0.2">
      <c r="A78" s="91"/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9C9F-CD7C-496E-AA69-44230F2A55C1}">
  <dimension ref="A1:K78"/>
  <sheetViews>
    <sheetView workbookViewId="0">
      <selection activeCell="A28" sqref="A28:C28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696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3879.35</v>
      </c>
      <c r="C3" s="51">
        <v>3879.35</v>
      </c>
      <c r="F3" s="33">
        <f>B3+B4</f>
        <v>5354.0599999999995</v>
      </c>
      <c r="G3" s="27">
        <f>C9+C10+C11+C12+C13+C14+C15+C16+C17+C18</f>
        <v>3705.25</v>
      </c>
      <c r="H3" s="27">
        <f>F3-G3</f>
        <v>1648.8099999999995</v>
      </c>
    </row>
    <row r="4" spans="1:11" x14ac:dyDescent="0.2">
      <c r="A4" s="26" t="s">
        <v>265</v>
      </c>
      <c r="B4" s="51">
        <v>1474.71</v>
      </c>
      <c r="C4" s="51">
        <v>1474.71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5354.0599999999995</v>
      </c>
      <c r="G6" s="27">
        <f>C21+C22+C23+C24+C25+C26+C27+C28+C29+C30</f>
        <v>2320.27</v>
      </c>
      <c r="H6" s="27">
        <f>F6-G6</f>
        <v>3033.7899999999995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2271.33</v>
      </c>
      <c r="D9" s="26"/>
      <c r="F9" s="26"/>
      <c r="H9" s="26"/>
      <c r="I9" s="26"/>
      <c r="J9" s="45"/>
    </row>
    <row r="10" spans="1:11" s="24" customFormat="1" x14ac:dyDescent="0.2">
      <c r="A10" s="20" t="s">
        <v>675</v>
      </c>
      <c r="B10" s="20" t="s">
        <v>389</v>
      </c>
      <c r="C10" s="22">
        <v>80.23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660</v>
      </c>
      <c r="B11" s="20" t="s">
        <v>394</v>
      </c>
      <c r="C11" s="21">
        <v>98.39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653</v>
      </c>
      <c r="B12" s="20" t="s">
        <v>657</v>
      </c>
      <c r="C12" s="21">
        <v>40</v>
      </c>
      <c r="D12" s="26"/>
      <c r="F12" s="25">
        <f>(H3+H6)/2</f>
        <v>2341.2999999999993</v>
      </c>
      <c r="G12" s="26"/>
      <c r="H12" s="26"/>
      <c r="I12" s="26"/>
      <c r="K12" s="45"/>
    </row>
    <row r="13" spans="1:11" s="24" customFormat="1" x14ac:dyDescent="0.2">
      <c r="A13" s="20" t="s">
        <v>633</v>
      </c>
      <c r="B13" s="20" t="s">
        <v>518</v>
      </c>
      <c r="C13" s="21">
        <v>542.02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626</v>
      </c>
      <c r="B14" s="20" t="s">
        <v>398</v>
      </c>
      <c r="C14" s="21">
        <v>134.41999999999999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650</v>
      </c>
      <c r="B15" s="20" t="s">
        <v>401</v>
      </c>
      <c r="C15" s="21">
        <v>14.22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651</v>
      </c>
      <c r="B16" s="20" t="s">
        <v>523</v>
      </c>
      <c r="C16" s="21">
        <v>8.5500000000000007</v>
      </c>
      <c r="D16" s="26"/>
      <c r="F16" s="26"/>
      <c r="I16" s="26"/>
      <c r="J16" s="66"/>
      <c r="K16" s="45"/>
    </row>
    <row r="17" spans="1:11" s="24" customFormat="1" x14ac:dyDescent="0.2">
      <c r="A17" s="20" t="s">
        <v>688</v>
      </c>
      <c r="B17" s="20" t="s">
        <v>689</v>
      </c>
      <c r="C17" s="21">
        <v>150</v>
      </c>
      <c r="D17" s="26"/>
      <c r="F17" s="26"/>
      <c r="I17" s="26"/>
      <c r="J17" s="66"/>
      <c r="K17" s="45"/>
    </row>
    <row r="18" spans="1:11" s="24" customFormat="1" x14ac:dyDescent="0.2">
      <c r="A18" s="20" t="s">
        <v>687</v>
      </c>
      <c r="B18" s="20" t="s">
        <v>400</v>
      </c>
      <c r="C18" s="21">
        <v>366.09</v>
      </c>
      <c r="D18" s="90"/>
      <c r="F18" s="26"/>
      <c r="I18" s="26"/>
      <c r="J18" s="26"/>
      <c r="K18" s="26"/>
    </row>
    <row r="19" spans="1:11" s="24" customFormat="1" x14ac:dyDescent="0.2">
      <c r="A19" s="29"/>
      <c r="B19" s="29"/>
      <c r="C19" s="30"/>
      <c r="D19" s="26"/>
      <c r="F19" s="26"/>
      <c r="I19" s="26"/>
      <c r="J19" s="26"/>
      <c r="K19" s="26"/>
    </row>
    <row r="20" spans="1:11" s="24" customFormat="1" x14ac:dyDescent="0.2">
      <c r="A20" s="32" t="s">
        <v>13</v>
      </c>
      <c r="B20" s="25"/>
      <c r="C20" s="27"/>
      <c r="D20" s="26"/>
      <c r="F20" s="51"/>
      <c r="I20" s="26"/>
      <c r="J20" s="26"/>
      <c r="K20" s="26"/>
    </row>
    <row r="21" spans="1:11" s="24" customFormat="1" x14ac:dyDescent="0.2">
      <c r="A21" s="20" t="s">
        <v>694</v>
      </c>
      <c r="B21" s="20" t="s">
        <v>448</v>
      </c>
      <c r="C21" s="21">
        <v>710.16</v>
      </c>
      <c r="D21" s="26"/>
      <c r="F21" s="26"/>
      <c r="J21" s="41"/>
    </row>
    <row r="22" spans="1:11" s="24" customFormat="1" x14ac:dyDescent="0.2">
      <c r="A22" s="20" t="s">
        <v>267</v>
      </c>
      <c r="B22" s="20" t="s">
        <v>404</v>
      </c>
      <c r="C22" s="55">
        <v>62.63</v>
      </c>
      <c r="D22" s="26"/>
      <c r="F22" s="51"/>
    </row>
    <row r="23" spans="1:11" s="24" customFormat="1" x14ac:dyDescent="0.2">
      <c r="A23" s="20" t="s">
        <v>79</v>
      </c>
      <c r="B23" s="20" t="s">
        <v>390</v>
      </c>
      <c r="C23" s="21">
        <v>210.75</v>
      </c>
      <c r="F23" s="26"/>
      <c r="G23" s="111"/>
    </row>
    <row r="24" spans="1:11" s="24" customFormat="1" x14ac:dyDescent="0.2">
      <c r="A24" s="20" t="s">
        <v>666</v>
      </c>
      <c r="B24" s="20" t="s">
        <v>664</v>
      </c>
      <c r="C24" s="21">
        <v>120.67</v>
      </c>
      <c r="F24" s="26"/>
      <c r="G24" s="111"/>
    </row>
    <row r="25" spans="1:11" s="24" customFormat="1" x14ac:dyDescent="0.2">
      <c r="A25" s="20" t="s">
        <v>302</v>
      </c>
      <c r="B25" s="20" t="s">
        <v>388</v>
      </c>
      <c r="C25" s="21">
        <v>384.55</v>
      </c>
      <c r="D25" s="26"/>
      <c r="F25" s="26"/>
      <c r="G25" s="111"/>
    </row>
    <row r="26" spans="1:11" s="24" customFormat="1" x14ac:dyDescent="0.2">
      <c r="A26" s="20" t="s">
        <v>688</v>
      </c>
      <c r="B26" s="20" t="s">
        <v>690</v>
      </c>
      <c r="C26" s="21">
        <v>150</v>
      </c>
      <c r="D26" s="26"/>
      <c r="F26" s="26"/>
      <c r="I26" s="102"/>
    </row>
    <row r="27" spans="1:11" s="24" customFormat="1" x14ac:dyDescent="0.2">
      <c r="A27" s="20" t="s">
        <v>691</v>
      </c>
      <c r="B27" s="20" t="s">
        <v>690</v>
      </c>
      <c r="C27" s="21">
        <v>250</v>
      </c>
      <c r="D27" s="26"/>
      <c r="F27" s="26"/>
      <c r="G27" s="51"/>
      <c r="I27" s="102"/>
    </row>
    <row r="28" spans="1:11" s="24" customFormat="1" x14ac:dyDescent="0.2">
      <c r="A28" s="20" t="s">
        <v>661</v>
      </c>
      <c r="B28" s="20" t="s">
        <v>440</v>
      </c>
      <c r="C28" s="21">
        <v>342.81</v>
      </c>
      <c r="D28" s="26"/>
      <c r="F28" s="26"/>
      <c r="I28" s="102"/>
    </row>
    <row r="29" spans="1:11" s="24" customFormat="1" x14ac:dyDescent="0.2">
      <c r="A29" s="20" t="s">
        <v>600</v>
      </c>
      <c r="B29" s="109" t="s">
        <v>388</v>
      </c>
      <c r="C29" s="21">
        <v>69</v>
      </c>
      <c r="D29" s="26"/>
      <c r="F29" s="26"/>
      <c r="I29" s="102"/>
    </row>
    <row r="30" spans="1:11" s="24" customFormat="1" x14ac:dyDescent="0.2">
      <c r="A30" s="20" t="s">
        <v>601</v>
      </c>
      <c r="B30" s="20" t="s">
        <v>395</v>
      </c>
      <c r="C30" s="21">
        <v>19.7</v>
      </c>
      <c r="F30" s="26"/>
      <c r="I30" s="102"/>
    </row>
    <row r="31" spans="1:11" s="24" customFormat="1" x14ac:dyDescent="0.2">
      <c r="A31" s="29"/>
      <c r="B31" s="29"/>
      <c r="C31" s="29"/>
      <c r="D31" s="26"/>
      <c r="F31" s="26"/>
      <c r="I31" s="52"/>
    </row>
    <row r="32" spans="1:11" s="24" customFormat="1" x14ac:dyDescent="0.2">
      <c r="A32" s="26"/>
      <c r="B32" s="26"/>
      <c r="C32" s="26"/>
      <c r="D32" s="26"/>
      <c r="I32" s="52"/>
    </row>
    <row r="33" spans="1:9" s="24" customFormat="1" x14ac:dyDescent="0.2">
      <c r="A33" s="26"/>
      <c r="B33" s="26"/>
      <c r="C33" s="26"/>
      <c r="D33" s="26"/>
      <c r="F33" s="24" t="s">
        <v>697</v>
      </c>
      <c r="G33" s="111">
        <v>6166.33</v>
      </c>
      <c r="H33" s="26"/>
      <c r="I33" s="52"/>
    </row>
    <row r="34" spans="1:9" s="24" customFormat="1" x14ac:dyDescent="0.2">
      <c r="A34" s="26"/>
      <c r="B34" s="26"/>
      <c r="C34" s="26"/>
      <c r="D34" s="26"/>
      <c r="F34" s="25" t="s">
        <v>666</v>
      </c>
      <c r="G34" s="110">
        <v>4102.55</v>
      </c>
      <c r="H34" s="26"/>
      <c r="I34" s="52"/>
    </row>
    <row r="35" spans="1:9" s="24" customFormat="1" x14ac:dyDescent="0.2">
      <c r="D35" s="26"/>
      <c r="F35" s="20" t="s">
        <v>691</v>
      </c>
      <c r="G35" s="24">
        <v>0</v>
      </c>
      <c r="H35" s="26"/>
      <c r="I35" s="52"/>
    </row>
    <row r="36" spans="1:9" s="24" customFormat="1" x14ac:dyDescent="0.2">
      <c r="D36" s="26"/>
      <c r="E36" s="101"/>
      <c r="F36" s="25" t="s">
        <v>698</v>
      </c>
      <c r="G36" s="111">
        <v>2852</v>
      </c>
      <c r="H36" s="26"/>
      <c r="I36" s="52"/>
    </row>
    <row r="37" spans="1:9" s="24" customFormat="1" x14ac:dyDescent="0.2">
      <c r="D37" s="26"/>
      <c r="E37" s="101"/>
      <c r="F37" s="24" t="s">
        <v>699</v>
      </c>
      <c r="G37" s="24">
        <v>0</v>
      </c>
      <c r="H37" s="26"/>
      <c r="I37" s="26"/>
    </row>
    <row r="38" spans="1:9" s="24" customFormat="1" x14ac:dyDescent="0.2">
      <c r="D38" s="26"/>
      <c r="E38" s="101"/>
      <c r="H38" s="26"/>
      <c r="I38" s="26"/>
    </row>
    <row r="39" spans="1:9" s="24" customFormat="1" x14ac:dyDescent="0.2">
      <c r="B39" s="120" t="s">
        <v>701</v>
      </c>
      <c r="D39" s="26"/>
      <c r="E39" s="104"/>
      <c r="H39" s="26"/>
      <c r="I39" s="26"/>
    </row>
    <row r="40" spans="1:9" s="24" customFormat="1" ht="32" x14ac:dyDescent="0.2">
      <c r="B40" s="121" t="s">
        <v>700</v>
      </c>
      <c r="D40" s="26"/>
      <c r="E40" s="101"/>
      <c r="H40" s="26"/>
      <c r="I40" s="26"/>
    </row>
    <row r="41" spans="1:9" s="24" customFormat="1" x14ac:dyDescent="0.2">
      <c r="D41" s="26"/>
      <c r="E41" s="101"/>
      <c r="H41" s="26"/>
      <c r="I41" s="26"/>
    </row>
    <row r="42" spans="1:9" s="24" customFormat="1" x14ac:dyDescent="0.2">
      <c r="H42" s="26"/>
      <c r="I42" s="26"/>
    </row>
    <row r="43" spans="1:9" s="24" customFormat="1" x14ac:dyDescent="0.2">
      <c r="A43" s="26"/>
      <c r="H43" s="26"/>
      <c r="I43" s="26"/>
    </row>
    <row r="44" spans="1:9" s="24" customFormat="1" x14ac:dyDescent="0.2">
      <c r="A44" s="26"/>
      <c r="H44" s="26"/>
      <c r="I44" s="26"/>
    </row>
    <row r="45" spans="1:9" s="24" customFormat="1" x14ac:dyDescent="0.2">
      <c r="A45" s="26"/>
      <c r="H45" s="26"/>
      <c r="I45" s="26"/>
    </row>
    <row r="46" spans="1:9" s="24" customFormat="1" x14ac:dyDescent="0.2">
      <c r="A46" s="26"/>
      <c r="C46" s="26"/>
      <c r="F46" s="108"/>
      <c r="G46" s="45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A48" s="26"/>
      <c r="C48" s="26"/>
      <c r="F48" s="26"/>
      <c r="G48" s="46"/>
      <c r="H48" s="26"/>
      <c r="I48" s="26"/>
    </row>
    <row r="49" spans="1:9" s="24" customFormat="1" x14ac:dyDescent="0.2">
      <c r="A49" s="26"/>
      <c r="C49" s="26"/>
      <c r="F49" s="26"/>
      <c r="G49" s="46"/>
      <c r="H49" s="26"/>
      <c r="I49" s="26"/>
    </row>
    <row r="50" spans="1:9" s="24" customFormat="1" x14ac:dyDescent="0.2">
      <c r="F50"/>
      <c r="G50" s="46"/>
      <c r="H50" s="26"/>
      <c r="I50" s="26"/>
    </row>
    <row r="51" spans="1:9" s="24" customFormat="1" x14ac:dyDescent="0.2">
      <c r="A51" s="26"/>
      <c r="C51" s="26"/>
      <c r="F51" s="26"/>
      <c r="G51" s="26"/>
      <c r="H51" s="26"/>
      <c r="I51" s="26"/>
    </row>
    <row r="52" spans="1:9" s="24" customFormat="1" x14ac:dyDescent="0.2">
      <c r="A52" s="26"/>
      <c r="C52" s="26"/>
      <c r="F52" s="26"/>
      <c r="G52" s="26"/>
      <c r="I52" s="26"/>
    </row>
    <row r="53" spans="1:9" s="24" customFormat="1" x14ac:dyDescent="0.2">
      <c r="A53" s="26"/>
      <c r="C53" s="26"/>
      <c r="F53" s="26"/>
      <c r="G53" s="26"/>
      <c r="I53" s="26"/>
    </row>
    <row r="54" spans="1:9" s="24" customFormat="1" x14ac:dyDescent="0.2">
      <c r="F54" s="26"/>
      <c r="G54" s="26"/>
      <c r="H54" s="26"/>
    </row>
    <row r="55" spans="1:9" s="24" customFormat="1" x14ac:dyDescent="0.2">
      <c r="A55" s="26"/>
      <c r="B55" s="26"/>
      <c r="C55"/>
      <c r="F55" s="26"/>
      <c r="G55" s="26"/>
      <c r="H55" s="26"/>
    </row>
    <row r="56" spans="1:9" s="26" customFormat="1" x14ac:dyDescent="0.2">
      <c r="A56" s="91"/>
      <c r="C56"/>
    </row>
    <row r="57" spans="1:9" s="26" customFormat="1" x14ac:dyDescent="0.2">
      <c r="A57" s="91"/>
      <c r="B57"/>
      <c r="C57"/>
      <c r="H57" s="24"/>
    </row>
    <row r="58" spans="1:9" s="26" customFormat="1" x14ac:dyDescent="0.2">
      <c r="A58" s="91"/>
      <c r="C58"/>
      <c r="G58" s="24"/>
      <c r="H58" s="24"/>
    </row>
    <row r="59" spans="1:9" s="26" customFormat="1" x14ac:dyDescent="0.2">
      <c r="A59" s="91"/>
      <c r="C59"/>
      <c r="H59" s="24"/>
    </row>
    <row r="60" spans="1:9" s="24" customFormat="1" x14ac:dyDescent="0.2">
      <c r="A60"/>
      <c r="B60"/>
      <c r="C60"/>
      <c r="F60" s="26"/>
      <c r="G60" s="26"/>
      <c r="H60" s="26"/>
      <c r="I60" s="26"/>
    </row>
    <row r="61" spans="1:9" s="26" customFormat="1" x14ac:dyDescent="0.2">
      <c r="A61"/>
      <c r="B61"/>
      <c r="C61"/>
    </row>
    <row r="62" spans="1:9" s="26" customFormat="1" x14ac:dyDescent="0.2">
      <c r="A62" s="91"/>
      <c r="B62"/>
      <c r="C62"/>
      <c r="H62"/>
    </row>
    <row r="63" spans="1:9" s="26" customFormat="1" x14ac:dyDescent="0.2">
      <c r="A63" s="91"/>
      <c r="B63"/>
      <c r="C63"/>
      <c r="H63"/>
    </row>
    <row r="64" spans="1:9" s="24" customFormat="1" x14ac:dyDescent="0.2">
      <c r="A64" s="91"/>
      <c r="B64"/>
      <c r="C64"/>
      <c r="F64" s="26"/>
      <c r="G64" s="26"/>
      <c r="H64" s="26"/>
      <c r="I64" s="26"/>
    </row>
    <row r="65" spans="1:9" s="24" customFormat="1" x14ac:dyDescent="0.2">
      <c r="A65" s="91"/>
      <c r="B65"/>
      <c r="C65"/>
      <c r="D65" s="26"/>
      <c r="F65"/>
      <c r="G65" s="26"/>
      <c r="H65" s="26"/>
      <c r="I65" s="26"/>
    </row>
    <row r="66" spans="1:9" s="24" customFormat="1" x14ac:dyDescent="0.2">
      <c r="A66" s="91"/>
      <c r="B66"/>
      <c r="C66"/>
      <c r="D66" s="26"/>
      <c r="F66"/>
      <c r="G66" s="26"/>
      <c r="H66"/>
      <c r="I66" s="26"/>
    </row>
    <row r="67" spans="1:9" s="26" customFormat="1" x14ac:dyDescent="0.2">
      <c r="A67" s="91"/>
      <c r="B67"/>
      <c r="C67"/>
      <c r="G67"/>
      <c r="H67"/>
    </row>
    <row r="68" spans="1:9" s="26" customFormat="1" x14ac:dyDescent="0.2">
      <c r="A68" s="91"/>
      <c r="B68"/>
      <c r="C68"/>
      <c r="G68"/>
      <c r="H68"/>
      <c r="I68"/>
    </row>
    <row r="69" spans="1:9" x14ac:dyDescent="0.2">
      <c r="A69" s="91"/>
    </row>
    <row r="70" spans="1:9" x14ac:dyDescent="0.2">
      <c r="A70" s="91"/>
    </row>
    <row r="71" spans="1:9" s="26" customFormat="1" x14ac:dyDescent="0.2">
      <c r="A71" s="91"/>
      <c r="B71"/>
      <c r="C71"/>
      <c r="F71"/>
      <c r="G71"/>
      <c r="H71"/>
      <c r="I71"/>
    </row>
    <row r="72" spans="1:9" s="26" customFormat="1" x14ac:dyDescent="0.2">
      <c r="A72" s="91"/>
      <c r="B72"/>
      <c r="C72"/>
      <c r="F72"/>
      <c r="G72"/>
      <c r="H72"/>
      <c r="I72"/>
    </row>
    <row r="73" spans="1:9" x14ac:dyDescent="0.2">
      <c r="A73" s="91"/>
    </row>
    <row r="74" spans="1:9" x14ac:dyDescent="0.2">
      <c r="A74" s="91"/>
    </row>
    <row r="75" spans="1:9" x14ac:dyDescent="0.2">
      <c r="A75" s="91"/>
    </row>
    <row r="76" spans="1:9" x14ac:dyDescent="0.2">
      <c r="A76" s="91"/>
    </row>
    <row r="77" spans="1:9" x14ac:dyDescent="0.2">
      <c r="A77" s="91"/>
    </row>
    <row r="78" spans="1:9" x14ac:dyDescent="0.2">
      <c r="A78" s="91"/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9C76-658F-47ED-89FE-5DF024717041}">
  <dimension ref="A1:K78"/>
  <sheetViews>
    <sheetView workbookViewId="0">
      <selection activeCell="A28" sqref="A28:C28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695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3879.35</v>
      </c>
      <c r="C3" s="51">
        <v>3879.35</v>
      </c>
      <c r="F3" s="33">
        <f>B3+B4</f>
        <v>5354.0599999999995</v>
      </c>
      <c r="G3" s="27">
        <f>C9+C10+C11+C12+C13+C14+C15+C16+C17+C18</f>
        <v>3694.3999999999996</v>
      </c>
      <c r="H3" s="27">
        <f>F3-G3</f>
        <v>1659.6599999999999</v>
      </c>
    </row>
    <row r="4" spans="1:11" x14ac:dyDescent="0.2">
      <c r="A4" s="26" t="s">
        <v>265</v>
      </c>
      <c r="B4" s="51">
        <v>1474.71</v>
      </c>
      <c r="C4" s="51">
        <v>1474.71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5354.0599999999995</v>
      </c>
      <c r="G6" s="27">
        <f>C21+C22+C23+C24+C25+C26+C27+C28+C29+C30</f>
        <v>2351.2799999999997</v>
      </c>
      <c r="H6" s="27">
        <f>F6-G6</f>
        <v>3002.7799999999997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2271.33</v>
      </c>
      <c r="D9" s="26"/>
      <c r="F9" s="26"/>
      <c r="H9" s="26"/>
      <c r="I9" s="26"/>
      <c r="J9" s="45"/>
    </row>
    <row r="10" spans="1:11" s="24" customFormat="1" x14ac:dyDescent="0.2">
      <c r="A10" s="20" t="s">
        <v>675</v>
      </c>
      <c r="B10" s="20" t="s">
        <v>389</v>
      </c>
      <c r="C10" s="22">
        <v>69.59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660</v>
      </c>
      <c r="B11" s="20" t="s">
        <v>394</v>
      </c>
      <c r="C11" s="21">
        <v>98.74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653</v>
      </c>
      <c r="B12" s="20" t="s">
        <v>657</v>
      </c>
      <c r="C12" s="21">
        <v>40</v>
      </c>
      <c r="D12" s="26"/>
      <c r="F12" s="25">
        <f>(H3+H6)/2</f>
        <v>2331.2199999999998</v>
      </c>
      <c r="G12" s="26"/>
      <c r="H12" s="26"/>
      <c r="I12" s="26"/>
      <c r="K12" s="45"/>
    </row>
    <row r="13" spans="1:11" s="24" customFormat="1" x14ac:dyDescent="0.2">
      <c r="A13" s="20" t="s">
        <v>633</v>
      </c>
      <c r="B13" s="20" t="s">
        <v>518</v>
      </c>
      <c r="C13" s="21">
        <v>542.02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626</v>
      </c>
      <c r="B14" s="20" t="s">
        <v>398</v>
      </c>
      <c r="C14" s="21">
        <v>134.41999999999999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650</v>
      </c>
      <c r="B15" s="20" t="s">
        <v>401</v>
      </c>
      <c r="C15" s="21">
        <v>14.22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651</v>
      </c>
      <c r="B16" s="20" t="s">
        <v>523</v>
      </c>
      <c r="C16" s="21">
        <v>7.99</v>
      </c>
      <c r="D16" s="26"/>
      <c r="F16" s="26"/>
      <c r="I16" s="26"/>
      <c r="J16" s="66"/>
      <c r="K16" s="45"/>
    </row>
    <row r="17" spans="1:11" s="24" customFormat="1" x14ac:dyDescent="0.2">
      <c r="A17" s="20" t="s">
        <v>688</v>
      </c>
      <c r="B17" s="20" t="s">
        <v>689</v>
      </c>
      <c r="C17" s="21">
        <v>150</v>
      </c>
      <c r="D17" s="26"/>
      <c r="F17" s="26"/>
      <c r="I17" s="26"/>
      <c r="J17" s="66"/>
      <c r="K17" s="45"/>
    </row>
    <row r="18" spans="1:11" s="24" customFormat="1" x14ac:dyDescent="0.2">
      <c r="A18" s="20" t="s">
        <v>687</v>
      </c>
      <c r="B18" s="20" t="s">
        <v>400</v>
      </c>
      <c r="C18" s="21">
        <v>366.09</v>
      </c>
      <c r="D18" s="90"/>
      <c r="F18" s="26"/>
      <c r="I18" s="26"/>
      <c r="J18" s="26"/>
      <c r="K18" s="26"/>
    </row>
    <row r="19" spans="1:11" s="24" customFormat="1" x14ac:dyDescent="0.2">
      <c r="A19" s="29"/>
      <c r="B19" s="29"/>
      <c r="C19" s="30"/>
      <c r="D19" s="26"/>
      <c r="F19" s="26"/>
      <c r="I19" s="26"/>
      <c r="J19" s="26"/>
      <c r="K19" s="26"/>
    </row>
    <row r="20" spans="1:11" s="24" customFormat="1" x14ac:dyDescent="0.2">
      <c r="A20" s="32" t="s">
        <v>13</v>
      </c>
      <c r="B20" s="25"/>
      <c r="C20" s="27"/>
      <c r="D20" s="26"/>
      <c r="F20" s="51"/>
      <c r="I20" s="26"/>
      <c r="J20" s="26"/>
      <c r="K20" s="26"/>
    </row>
    <row r="21" spans="1:11" s="24" customFormat="1" x14ac:dyDescent="0.2">
      <c r="A21" s="20" t="s">
        <v>694</v>
      </c>
      <c r="B21" s="20" t="s">
        <v>448</v>
      </c>
      <c r="C21" s="21">
        <v>710.16</v>
      </c>
      <c r="D21" s="26"/>
      <c r="F21" s="26"/>
      <c r="J21" s="41"/>
    </row>
    <row r="22" spans="1:11" s="24" customFormat="1" x14ac:dyDescent="0.2">
      <c r="A22" s="20" t="s">
        <v>267</v>
      </c>
      <c r="B22" s="20" t="s">
        <v>404</v>
      </c>
      <c r="C22" s="55">
        <v>88.93</v>
      </c>
      <c r="D22" s="26"/>
      <c r="F22" s="51"/>
    </row>
    <row r="23" spans="1:11" s="24" customFormat="1" x14ac:dyDescent="0.2">
      <c r="A23" s="20" t="s">
        <v>79</v>
      </c>
      <c r="B23" s="20" t="s">
        <v>390</v>
      </c>
      <c r="C23" s="21">
        <v>210.75</v>
      </c>
      <c r="F23" s="26"/>
      <c r="G23" s="111"/>
    </row>
    <row r="24" spans="1:11" s="24" customFormat="1" x14ac:dyDescent="0.2">
      <c r="A24" s="20" t="s">
        <v>666</v>
      </c>
      <c r="B24" s="20" t="s">
        <v>664</v>
      </c>
      <c r="C24" s="21">
        <v>120.67</v>
      </c>
      <c r="F24" s="26"/>
      <c r="G24" s="111"/>
    </row>
    <row r="25" spans="1:11" s="24" customFormat="1" x14ac:dyDescent="0.2">
      <c r="A25" s="20" t="s">
        <v>302</v>
      </c>
      <c r="B25" s="20" t="s">
        <v>388</v>
      </c>
      <c r="C25" s="21">
        <v>389.26</v>
      </c>
      <c r="D25" s="26"/>
      <c r="F25" s="26"/>
      <c r="G25" s="111"/>
    </row>
    <row r="26" spans="1:11" s="24" customFormat="1" x14ac:dyDescent="0.2">
      <c r="A26" s="20" t="s">
        <v>688</v>
      </c>
      <c r="B26" s="20" t="s">
        <v>690</v>
      </c>
      <c r="C26" s="21">
        <v>150</v>
      </c>
      <c r="D26" s="26"/>
      <c r="F26" s="26"/>
      <c r="I26" s="102"/>
    </row>
    <row r="27" spans="1:11" s="24" customFormat="1" x14ac:dyDescent="0.2">
      <c r="A27" s="20" t="s">
        <v>691</v>
      </c>
      <c r="B27" s="20" t="s">
        <v>690</v>
      </c>
      <c r="C27" s="21">
        <v>250</v>
      </c>
      <c r="D27" s="26"/>
      <c r="F27" s="26"/>
      <c r="G27" s="51"/>
      <c r="I27" s="102"/>
    </row>
    <row r="28" spans="1:11" s="24" customFormat="1" x14ac:dyDescent="0.2">
      <c r="A28" s="20" t="s">
        <v>661</v>
      </c>
      <c r="B28" s="20" t="s">
        <v>440</v>
      </c>
      <c r="C28" s="21">
        <v>342.81</v>
      </c>
      <c r="D28" s="26"/>
      <c r="F28" s="26"/>
      <c r="I28" s="102"/>
    </row>
    <row r="29" spans="1:11" s="24" customFormat="1" x14ac:dyDescent="0.2">
      <c r="A29" s="20" t="s">
        <v>600</v>
      </c>
      <c r="B29" s="109" t="s">
        <v>388</v>
      </c>
      <c r="C29" s="21">
        <v>69</v>
      </c>
      <c r="D29" s="26"/>
      <c r="F29" s="26"/>
      <c r="I29" s="102"/>
    </row>
    <row r="30" spans="1:11" s="24" customFormat="1" x14ac:dyDescent="0.2">
      <c r="A30" s="20" t="s">
        <v>601</v>
      </c>
      <c r="B30" s="20" t="s">
        <v>395</v>
      </c>
      <c r="C30" s="21">
        <v>19.7</v>
      </c>
      <c r="F30" s="26"/>
      <c r="I30" s="102"/>
    </row>
    <row r="31" spans="1:11" s="24" customFormat="1" x14ac:dyDescent="0.2">
      <c r="A31" s="29"/>
      <c r="B31" s="29"/>
      <c r="C31" s="29"/>
      <c r="D31" s="26"/>
      <c r="F31" s="26"/>
      <c r="I31" s="52"/>
    </row>
    <row r="32" spans="1:11" s="24" customFormat="1" x14ac:dyDescent="0.2">
      <c r="A32" s="26"/>
      <c r="B32" s="26"/>
      <c r="C32" s="26"/>
      <c r="D32" s="26"/>
      <c r="I32" s="52"/>
    </row>
    <row r="33" spans="1:9" s="24" customFormat="1" x14ac:dyDescent="0.2">
      <c r="A33" s="26"/>
      <c r="B33" s="26"/>
      <c r="C33" s="26"/>
      <c r="D33" s="26"/>
      <c r="H33" s="26"/>
      <c r="I33" s="52"/>
    </row>
    <row r="34" spans="1:9" s="24" customFormat="1" x14ac:dyDescent="0.2">
      <c r="A34" s="26"/>
      <c r="B34" s="26"/>
      <c r="C34" s="26"/>
      <c r="D34" s="26"/>
      <c r="G34" s="110"/>
      <c r="H34" s="26"/>
      <c r="I34" s="52"/>
    </row>
    <row r="35" spans="1:9" s="24" customFormat="1" x14ac:dyDescent="0.2">
      <c r="D35" s="26"/>
      <c r="H35" s="26"/>
      <c r="I35" s="52"/>
    </row>
    <row r="36" spans="1:9" s="24" customFormat="1" x14ac:dyDescent="0.2">
      <c r="D36" s="26"/>
      <c r="E36" s="101"/>
      <c r="H36" s="26"/>
      <c r="I36" s="52"/>
    </row>
    <row r="37" spans="1:9" s="24" customFormat="1" x14ac:dyDescent="0.2">
      <c r="D37" s="26"/>
      <c r="E37" s="101"/>
      <c r="H37" s="26"/>
      <c r="I37" s="26"/>
    </row>
    <row r="38" spans="1:9" s="24" customFormat="1" x14ac:dyDescent="0.2">
      <c r="D38" s="26"/>
      <c r="E38" s="101"/>
      <c r="H38" s="26"/>
      <c r="I38" s="26"/>
    </row>
    <row r="39" spans="1:9" s="24" customFormat="1" x14ac:dyDescent="0.2">
      <c r="D39" s="26"/>
      <c r="E39" s="104"/>
      <c r="H39" s="26"/>
      <c r="I39" s="26"/>
    </row>
    <row r="40" spans="1:9" s="24" customFormat="1" x14ac:dyDescent="0.2">
      <c r="D40" s="26"/>
      <c r="E40" s="101"/>
      <c r="H40" s="26"/>
      <c r="I40" s="26"/>
    </row>
    <row r="41" spans="1:9" s="24" customFormat="1" x14ac:dyDescent="0.2">
      <c r="D41" s="26"/>
      <c r="E41" s="101"/>
      <c r="H41" s="26"/>
      <c r="I41" s="26"/>
    </row>
    <row r="42" spans="1:9" s="24" customFormat="1" x14ac:dyDescent="0.2">
      <c r="H42" s="26"/>
      <c r="I42" s="26"/>
    </row>
    <row r="43" spans="1:9" s="24" customFormat="1" x14ac:dyDescent="0.2">
      <c r="A43" s="26"/>
      <c r="H43" s="26"/>
      <c r="I43" s="26"/>
    </row>
    <row r="44" spans="1:9" s="24" customFormat="1" x14ac:dyDescent="0.2">
      <c r="A44" s="26"/>
      <c r="H44" s="26"/>
      <c r="I44" s="26"/>
    </row>
    <row r="45" spans="1:9" s="24" customFormat="1" x14ac:dyDescent="0.2">
      <c r="A45" s="26"/>
      <c r="H45" s="26"/>
      <c r="I45" s="26"/>
    </row>
    <row r="46" spans="1:9" s="24" customFormat="1" x14ac:dyDescent="0.2">
      <c r="A46" s="26"/>
      <c r="C46" s="26"/>
      <c r="F46" s="108"/>
      <c r="G46" s="45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A48" s="26"/>
      <c r="C48" s="26"/>
      <c r="F48" s="26"/>
      <c r="G48" s="46"/>
      <c r="H48" s="26"/>
      <c r="I48" s="26"/>
    </row>
    <row r="49" spans="1:9" s="24" customFormat="1" x14ac:dyDescent="0.2">
      <c r="A49" s="26"/>
      <c r="C49" s="26"/>
      <c r="F49" s="26"/>
      <c r="G49" s="46"/>
      <c r="H49" s="26"/>
      <c r="I49" s="26"/>
    </row>
    <row r="50" spans="1:9" s="24" customFormat="1" x14ac:dyDescent="0.2">
      <c r="F50"/>
      <c r="G50" s="46"/>
      <c r="H50" s="26"/>
      <c r="I50" s="26"/>
    </row>
    <row r="51" spans="1:9" s="24" customFormat="1" x14ac:dyDescent="0.2">
      <c r="A51" s="26"/>
      <c r="C51" s="26"/>
      <c r="F51" s="26"/>
      <c r="G51" s="26"/>
      <c r="H51" s="26"/>
      <c r="I51" s="26"/>
    </row>
    <row r="52" spans="1:9" s="24" customFormat="1" x14ac:dyDescent="0.2">
      <c r="A52" s="26"/>
      <c r="C52" s="26"/>
      <c r="F52" s="26"/>
      <c r="G52" s="26"/>
      <c r="I52" s="26"/>
    </row>
    <row r="53" spans="1:9" s="24" customFormat="1" x14ac:dyDescent="0.2">
      <c r="A53" s="26"/>
      <c r="C53" s="26"/>
      <c r="F53" s="26"/>
      <c r="G53" s="26"/>
      <c r="I53" s="26"/>
    </row>
    <row r="54" spans="1:9" s="24" customFormat="1" x14ac:dyDescent="0.2">
      <c r="F54" s="26"/>
      <c r="G54" s="26"/>
      <c r="H54" s="26"/>
    </row>
    <row r="55" spans="1:9" s="24" customFormat="1" x14ac:dyDescent="0.2">
      <c r="A55" s="26"/>
      <c r="B55" s="26"/>
      <c r="C55"/>
      <c r="F55" s="26"/>
      <c r="G55" s="26"/>
      <c r="H55" s="26"/>
    </row>
    <row r="56" spans="1:9" s="26" customFormat="1" x14ac:dyDescent="0.2">
      <c r="A56" s="91"/>
      <c r="C56"/>
    </row>
    <row r="57" spans="1:9" s="26" customFormat="1" x14ac:dyDescent="0.2">
      <c r="A57" s="91"/>
      <c r="B57"/>
      <c r="C57"/>
      <c r="H57" s="24"/>
    </row>
    <row r="58" spans="1:9" s="26" customFormat="1" x14ac:dyDescent="0.2">
      <c r="A58" s="91"/>
      <c r="C58"/>
      <c r="G58" s="24"/>
      <c r="H58" s="24"/>
    </row>
    <row r="59" spans="1:9" s="26" customFormat="1" x14ac:dyDescent="0.2">
      <c r="A59" s="91"/>
      <c r="C59"/>
      <c r="H59" s="24"/>
    </row>
    <row r="60" spans="1:9" s="24" customFormat="1" x14ac:dyDescent="0.2">
      <c r="A60"/>
      <c r="B60"/>
      <c r="C60"/>
      <c r="F60" s="26"/>
      <c r="G60" s="26"/>
      <c r="H60" s="26"/>
      <c r="I60" s="26"/>
    </row>
    <row r="61" spans="1:9" s="26" customFormat="1" x14ac:dyDescent="0.2">
      <c r="A61"/>
      <c r="B61"/>
      <c r="C61"/>
    </row>
    <row r="62" spans="1:9" s="26" customFormat="1" x14ac:dyDescent="0.2">
      <c r="A62" s="91"/>
      <c r="B62"/>
      <c r="C62"/>
      <c r="H62"/>
    </row>
    <row r="63" spans="1:9" s="26" customFormat="1" x14ac:dyDescent="0.2">
      <c r="A63" s="91"/>
      <c r="B63"/>
      <c r="C63"/>
      <c r="H63"/>
    </row>
    <row r="64" spans="1:9" s="24" customFormat="1" x14ac:dyDescent="0.2">
      <c r="A64" s="91"/>
      <c r="B64"/>
      <c r="C64"/>
      <c r="F64" s="26"/>
      <c r="G64" s="26"/>
      <c r="H64" s="26"/>
      <c r="I64" s="26"/>
    </row>
    <row r="65" spans="1:9" s="24" customFormat="1" x14ac:dyDescent="0.2">
      <c r="A65" s="91"/>
      <c r="B65"/>
      <c r="C65"/>
      <c r="D65" s="26"/>
      <c r="F65"/>
      <c r="G65" s="26"/>
      <c r="H65" s="26"/>
      <c r="I65" s="26"/>
    </row>
    <row r="66" spans="1:9" s="24" customFormat="1" x14ac:dyDescent="0.2">
      <c r="A66" s="91"/>
      <c r="B66"/>
      <c r="C66"/>
      <c r="D66" s="26"/>
      <c r="F66"/>
      <c r="G66" s="26"/>
      <c r="H66"/>
      <c r="I66" s="26"/>
    </row>
    <row r="67" spans="1:9" s="26" customFormat="1" x14ac:dyDescent="0.2">
      <c r="A67" s="91"/>
      <c r="B67"/>
      <c r="C67"/>
      <c r="G67"/>
      <c r="H67"/>
    </row>
    <row r="68" spans="1:9" s="26" customFormat="1" x14ac:dyDescent="0.2">
      <c r="A68" s="91"/>
      <c r="B68"/>
      <c r="C68"/>
      <c r="G68"/>
      <c r="H68"/>
      <c r="I68"/>
    </row>
    <row r="69" spans="1:9" x14ac:dyDescent="0.2">
      <c r="A69" s="91"/>
    </row>
    <row r="70" spans="1:9" x14ac:dyDescent="0.2">
      <c r="A70" s="91"/>
    </row>
    <row r="71" spans="1:9" s="26" customFormat="1" x14ac:dyDescent="0.2">
      <c r="A71" s="91"/>
      <c r="B71"/>
      <c r="C71"/>
      <c r="F71"/>
      <c r="G71"/>
      <c r="H71"/>
      <c r="I71"/>
    </row>
    <row r="72" spans="1:9" s="26" customFormat="1" x14ac:dyDescent="0.2">
      <c r="A72" s="91"/>
      <c r="B72"/>
      <c r="C72"/>
      <c r="F72"/>
      <c r="G72"/>
      <c r="H72"/>
      <c r="I72"/>
    </row>
    <row r="73" spans="1:9" x14ac:dyDescent="0.2">
      <c r="A73" s="91"/>
    </row>
    <row r="74" spans="1:9" x14ac:dyDescent="0.2">
      <c r="A74" s="91"/>
    </row>
    <row r="75" spans="1:9" x14ac:dyDescent="0.2">
      <c r="A75" s="91"/>
    </row>
    <row r="76" spans="1:9" x14ac:dyDescent="0.2">
      <c r="A76" s="91"/>
    </row>
    <row r="77" spans="1:9" x14ac:dyDescent="0.2">
      <c r="A77" s="91"/>
    </row>
    <row r="78" spans="1:9" x14ac:dyDescent="0.2">
      <c r="A78" s="91"/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6C3E-2D7C-487B-8052-D928D3932E76}">
  <dimension ref="A1:K78"/>
  <sheetViews>
    <sheetView tabSelected="1" workbookViewId="0">
      <selection activeCell="E10" sqref="E10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693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3439.14</v>
      </c>
      <c r="C3" s="51">
        <v>3439.14</v>
      </c>
      <c r="F3" s="33">
        <f>B3+B4</f>
        <v>4913.8500000000004</v>
      </c>
      <c r="G3" s="27">
        <f>C9+C10+C11+C12+C13+C14+C15+C16+C17+C18</f>
        <v>3648.68</v>
      </c>
      <c r="H3" s="27">
        <f>F3-G3</f>
        <v>1265.1700000000005</v>
      </c>
    </row>
    <row r="4" spans="1:11" x14ac:dyDescent="0.2">
      <c r="A4" s="26" t="s">
        <v>265</v>
      </c>
      <c r="B4" s="51">
        <v>1474.71</v>
      </c>
      <c r="C4" s="51">
        <v>1474.71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4913.8500000000004</v>
      </c>
      <c r="G6" s="27">
        <f>C21+C22+C23+C24+C25+C26+C27+C28+C29+C30</f>
        <v>2337.94</v>
      </c>
      <c r="H6" s="27">
        <f>F6-G6</f>
        <v>2575.9100000000003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2225.61</v>
      </c>
      <c r="D9" s="26"/>
      <c r="F9" s="26"/>
      <c r="H9" s="26"/>
      <c r="I9" s="26"/>
      <c r="J9" s="45"/>
    </row>
    <row r="10" spans="1:11" s="24" customFormat="1" x14ac:dyDescent="0.2">
      <c r="A10" s="20" t="s">
        <v>675</v>
      </c>
      <c r="B10" s="20" t="s">
        <v>389</v>
      </c>
      <c r="C10" s="22">
        <v>69.59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660</v>
      </c>
      <c r="B11" s="20" t="s">
        <v>394</v>
      </c>
      <c r="C11" s="21">
        <v>98.74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653</v>
      </c>
      <c r="B12" s="20" t="s">
        <v>657</v>
      </c>
      <c r="C12" s="21">
        <v>40</v>
      </c>
      <c r="D12" s="26"/>
      <c r="F12" s="25">
        <f>(H3+H6)/2</f>
        <v>1920.5400000000004</v>
      </c>
      <c r="G12" s="26"/>
      <c r="H12" s="26"/>
      <c r="I12" s="26"/>
      <c r="K12" s="45"/>
    </row>
    <row r="13" spans="1:11" s="24" customFormat="1" x14ac:dyDescent="0.2">
      <c r="A13" s="20" t="s">
        <v>633</v>
      </c>
      <c r="B13" s="20" t="s">
        <v>518</v>
      </c>
      <c r="C13" s="21">
        <v>542.02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626</v>
      </c>
      <c r="B14" s="20" t="s">
        <v>398</v>
      </c>
      <c r="C14" s="21">
        <v>134.41999999999999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650</v>
      </c>
      <c r="B15" s="20" t="s">
        <v>401</v>
      </c>
      <c r="C15" s="21">
        <v>14.22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651</v>
      </c>
      <c r="B16" s="20" t="s">
        <v>523</v>
      </c>
      <c r="C16" s="21">
        <v>7.99</v>
      </c>
      <c r="D16" s="26"/>
      <c r="F16" s="26"/>
      <c r="I16" s="26"/>
      <c r="J16" s="66"/>
      <c r="K16" s="45"/>
    </row>
    <row r="17" spans="1:11" s="24" customFormat="1" x14ac:dyDescent="0.2">
      <c r="A17" s="20" t="s">
        <v>688</v>
      </c>
      <c r="B17" s="20" t="s">
        <v>689</v>
      </c>
      <c r="C17" s="21">
        <v>150</v>
      </c>
      <c r="D17" s="26"/>
      <c r="F17" s="26"/>
      <c r="I17" s="26"/>
      <c r="J17" s="66"/>
      <c r="K17" s="45"/>
    </row>
    <row r="18" spans="1:11" s="24" customFormat="1" x14ac:dyDescent="0.2">
      <c r="A18" s="20" t="s">
        <v>687</v>
      </c>
      <c r="B18" s="20" t="s">
        <v>400</v>
      </c>
      <c r="C18" s="21">
        <v>366.09</v>
      </c>
      <c r="D18" s="90"/>
      <c r="F18" s="26"/>
      <c r="I18" s="26"/>
      <c r="J18" s="26"/>
      <c r="K18" s="26"/>
    </row>
    <row r="19" spans="1:11" s="24" customFormat="1" x14ac:dyDescent="0.2">
      <c r="A19" s="29"/>
      <c r="B19" s="29"/>
      <c r="C19" s="30"/>
      <c r="D19" s="26"/>
      <c r="F19" s="26"/>
      <c r="I19" s="26"/>
      <c r="J19" s="26"/>
      <c r="K19" s="26"/>
    </row>
    <row r="20" spans="1:11" s="24" customFormat="1" x14ac:dyDescent="0.2">
      <c r="A20" s="32" t="s">
        <v>13</v>
      </c>
      <c r="B20" s="25"/>
      <c r="C20" s="27"/>
      <c r="D20" s="26"/>
      <c r="F20" s="51"/>
      <c r="I20" s="26"/>
      <c r="J20" s="26"/>
      <c r="K20" s="26"/>
    </row>
    <row r="21" spans="1:11" s="24" customFormat="1" x14ac:dyDescent="0.2">
      <c r="A21" s="20" t="s">
        <v>694</v>
      </c>
      <c r="B21" s="20" t="s">
        <v>448</v>
      </c>
      <c r="C21" s="21">
        <v>710.16</v>
      </c>
      <c r="D21" s="26"/>
      <c r="F21" s="26"/>
      <c r="J21" s="41"/>
    </row>
    <row r="22" spans="1:11" s="24" customFormat="1" x14ac:dyDescent="0.2">
      <c r="A22" s="20" t="s">
        <v>267</v>
      </c>
      <c r="B22" s="20" t="s">
        <v>404</v>
      </c>
      <c r="C22" s="55">
        <v>88.93</v>
      </c>
      <c r="D22" s="26"/>
      <c r="F22" s="51"/>
    </row>
    <row r="23" spans="1:11" s="24" customFormat="1" x14ac:dyDescent="0.2">
      <c r="A23" s="20" t="s">
        <v>79</v>
      </c>
      <c r="B23" s="20" t="s">
        <v>390</v>
      </c>
      <c r="C23" s="21">
        <v>210.75</v>
      </c>
      <c r="F23" s="26"/>
      <c r="G23" s="111"/>
    </row>
    <row r="24" spans="1:11" s="24" customFormat="1" x14ac:dyDescent="0.2">
      <c r="A24" s="20" t="s">
        <v>666</v>
      </c>
      <c r="B24" s="20" t="s">
        <v>664</v>
      </c>
      <c r="C24" s="21">
        <v>120.67</v>
      </c>
      <c r="F24" s="26"/>
      <c r="G24" s="111"/>
    </row>
    <row r="25" spans="1:11" s="24" customFormat="1" x14ac:dyDescent="0.2">
      <c r="A25" s="20" t="s">
        <v>302</v>
      </c>
      <c r="B25" s="20" t="s">
        <v>388</v>
      </c>
      <c r="C25" s="21">
        <v>376.45</v>
      </c>
      <c r="D25" s="26"/>
      <c r="F25" s="26"/>
      <c r="G25" s="111"/>
    </row>
    <row r="26" spans="1:11" s="24" customFormat="1" x14ac:dyDescent="0.2">
      <c r="A26" s="20" t="s">
        <v>688</v>
      </c>
      <c r="B26" s="20" t="s">
        <v>690</v>
      </c>
      <c r="C26" s="21">
        <v>150</v>
      </c>
      <c r="D26" s="26"/>
      <c r="F26" s="26"/>
      <c r="I26" s="102"/>
    </row>
    <row r="27" spans="1:11" s="24" customFormat="1" x14ac:dyDescent="0.2">
      <c r="A27" s="20" t="s">
        <v>691</v>
      </c>
      <c r="B27" s="20" t="s">
        <v>690</v>
      </c>
      <c r="C27" s="21">
        <v>250</v>
      </c>
      <c r="D27" s="26"/>
      <c r="F27" s="26"/>
      <c r="I27" s="102"/>
    </row>
    <row r="28" spans="1:11" s="24" customFormat="1" x14ac:dyDescent="0.2">
      <c r="A28" s="20" t="s">
        <v>661</v>
      </c>
      <c r="B28" s="20" t="s">
        <v>440</v>
      </c>
      <c r="C28" s="21">
        <v>342.81</v>
      </c>
      <c r="D28" s="26"/>
      <c r="F28" s="26"/>
      <c r="I28" s="102"/>
    </row>
    <row r="29" spans="1:11" s="24" customFormat="1" x14ac:dyDescent="0.2">
      <c r="A29" s="20" t="s">
        <v>600</v>
      </c>
      <c r="B29" s="109" t="s">
        <v>388</v>
      </c>
      <c r="C29" s="21">
        <v>69</v>
      </c>
      <c r="D29" s="26"/>
      <c r="F29" s="26"/>
      <c r="I29" s="102"/>
    </row>
    <row r="30" spans="1:11" s="24" customFormat="1" x14ac:dyDescent="0.2">
      <c r="A30" s="20" t="s">
        <v>601</v>
      </c>
      <c r="B30" s="20" t="s">
        <v>395</v>
      </c>
      <c r="C30" s="21">
        <v>19.170000000000002</v>
      </c>
      <c r="F30" s="26"/>
      <c r="I30" s="102"/>
    </row>
    <row r="31" spans="1:11" s="24" customFormat="1" x14ac:dyDescent="0.2">
      <c r="A31" s="29"/>
      <c r="B31" s="29"/>
      <c r="C31" s="29"/>
      <c r="D31" s="26"/>
      <c r="F31" s="26"/>
      <c r="I31" s="52"/>
    </row>
    <row r="32" spans="1:11" s="24" customFormat="1" x14ac:dyDescent="0.2">
      <c r="A32" s="26"/>
      <c r="B32" s="26"/>
      <c r="C32" s="26"/>
      <c r="D32" s="26"/>
      <c r="I32" s="52"/>
    </row>
    <row r="33" spans="1:9" s="24" customFormat="1" x14ac:dyDescent="0.2">
      <c r="A33" s="26"/>
      <c r="B33" s="26"/>
      <c r="C33" s="26"/>
      <c r="D33" s="26"/>
      <c r="H33" s="26"/>
      <c r="I33" s="52"/>
    </row>
    <row r="34" spans="1:9" s="24" customFormat="1" x14ac:dyDescent="0.2">
      <c r="A34" s="26"/>
      <c r="B34" s="26"/>
      <c r="C34" s="26"/>
      <c r="D34" s="26"/>
      <c r="G34" s="110"/>
      <c r="H34" s="26"/>
      <c r="I34" s="52"/>
    </row>
    <row r="35" spans="1:9" s="24" customFormat="1" x14ac:dyDescent="0.2">
      <c r="D35" s="26"/>
      <c r="H35" s="26"/>
      <c r="I35" s="52"/>
    </row>
    <row r="36" spans="1:9" s="24" customFormat="1" x14ac:dyDescent="0.2">
      <c r="D36" s="26"/>
      <c r="E36" s="101"/>
      <c r="H36" s="26"/>
      <c r="I36" s="52"/>
    </row>
    <row r="37" spans="1:9" s="24" customFormat="1" x14ac:dyDescent="0.2">
      <c r="D37" s="26"/>
      <c r="E37" s="101"/>
      <c r="H37" s="26"/>
      <c r="I37" s="26"/>
    </row>
    <row r="38" spans="1:9" s="24" customFormat="1" x14ac:dyDescent="0.2">
      <c r="D38" s="26"/>
      <c r="E38" s="101"/>
      <c r="H38" s="26"/>
      <c r="I38" s="26"/>
    </row>
    <row r="39" spans="1:9" s="24" customFormat="1" x14ac:dyDescent="0.2">
      <c r="D39" s="26"/>
      <c r="E39" s="104"/>
      <c r="H39" s="26"/>
      <c r="I39" s="26"/>
    </row>
    <row r="40" spans="1:9" s="24" customFormat="1" x14ac:dyDescent="0.2">
      <c r="D40" s="26"/>
      <c r="E40" s="101"/>
      <c r="H40" s="26"/>
      <c r="I40" s="26"/>
    </row>
    <row r="41" spans="1:9" s="24" customFormat="1" x14ac:dyDescent="0.2">
      <c r="D41" s="26"/>
      <c r="E41" s="101"/>
      <c r="H41" s="26"/>
      <c r="I41" s="26"/>
    </row>
    <row r="42" spans="1:9" s="24" customFormat="1" x14ac:dyDescent="0.2">
      <c r="H42" s="26"/>
      <c r="I42" s="26"/>
    </row>
    <row r="43" spans="1:9" s="24" customFormat="1" x14ac:dyDescent="0.2">
      <c r="A43" s="26"/>
      <c r="H43" s="26"/>
      <c r="I43" s="26"/>
    </row>
    <row r="44" spans="1:9" s="24" customFormat="1" x14ac:dyDescent="0.2">
      <c r="A44" s="26"/>
      <c r="H44" s="26"/>
      <c r="I44" s="26"/>
    </row>
    <row r="45" spans="1:9" s="24" customFormat="1" x14ac:dyDescent="0.2">
      <c r="A45" s="26"/>
      <c r="H45" s="26"/>
      <c r="I45" s="26"/>
    </row>
    <row r="46" spans="1:9" s="24" customFormat="1" x14ac:dyDescent="0.2">
      <c r="A46" s="26"/>
      <c r="C46" s="26"/>
      <c r="F46" s="108"/>
      <c r="G46" s="45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A48" s="26"/>
      <c r="C48" s="26"/>
      <c r="F48" s="26"/>
      <c r="G48" s="46"/>
      <c r="H48" s="26"/>
      <c r="I48" s="26"/>
    </row>
    <row r="49" spans="1:9" s="24" customFormat="1" x14ac:dyDescent="0.2">
      <c r="A49" s="26"/>
      <c r="C49" s="26"/>
      <c r="F49" s="26"/>
      <c r="G49" s="46"/>
      <c r="H49" s="26"/>
      <c r="I49" s="26"/>
    </row>
    <row r="50" spans="1:9" s="24" customFormat="1" x14ac:dyDescent="0.2">
      <c r="F50"/>
      <c r="G50" s="46"/>
      <c r="H50" s="26"/>
      <c r="I50" s="26"/>
    </row>
    <row r="51" spans="1:9" s="24" customFormat="1" x14ac:dyDescent="0.2">
      <c r="A51" s="26"/>
      <c r="C51" s="26"/>
      <c r="F51" s="26"/>
      <c r="G51" s="26"/>
      <c r="H51" s="26"/>
      <c r="I51" s="26"/>
    </row>
    <row r="52" spans="1:9" s="24" customFormat="1" x14ac:dyDescent="0.2">
      <c r="A52" s="26"/>
      <c r="C52" s="26"/>
      <c r="F52" s="26"/>
      <c r="G52" s="26"/>
      <c r="I52" s="26"/>
    </row>
    <row r="53" spans="1:9" s="24" customFormat="1" x14ac:dyDescent="0.2">
      <c r="A53" s="26"/>
      <c r="C53" s="26"/>
      <c r="F53" s="26"/>
      <c r="G53" s="26"/>
      <c r="I53" s="26"/>
    </row>
    <row r="54" spans="1:9" s="24" customFormat="1" x14ac:dyDescent="0.2">
      <c r="F54" s="26"/>
      <c r="G54" s="26"/>
      <c r="H54" s="26"/>
    </row>
    <row r="55" spans="1:9" s="24" customFormat="1" x14ac:dyDescent="0.2">
      <c r="A55" s="26"/>
      <c r="B55" s="26"/>
      <c r="C55"/>
      <c r="F55" s="26"/>
      <c r="G55" s="26"/>
      <c r="H55" s="26"/>
    </row>
    <row r="56" spans="1:9" s="26" customFormat="1" x14ac:dyDescent="0.2">
      <c r="A56" s="91"/>
      <c r="C56"/>
    </row>
    <row r="57" spans="1:9" s="26" customFormat="1" x14ac:dyDescent="0.2">
      <c r="A57" s="91"/>
      <c r="B57"/>
      <c r="C57"/>
      <c r="H57" s="24"/>
    </row>
    <row r="58" spans="1:9" s="26" customFormat="1" x14ac:dyDescent="0.2">
      <c r="A58" s="91"/>
      <c r="C58"/>
      <c r="G58" s="24"/>
      <c r="H58" s="24"/>
    </row>
    <row r="59" spans="1:9" s="26" customFormat="1" x14ac:dyDescent="0.2">
      <c r="A59" s="91"/>
      <c r="C59"/>
      <c r="H59" s="24"/>
    </row>
    <row r="60" spans="1:9" s="24" customFormat="1" x14ac:dyDescent="0.2">
      <c r="A60"/>
      <c r="B60"/>
      <c r="C60"/>
      <c r="F60" s="26"/>
      <c r="G60" s="26"/>
      <c r="H60" s="26"/>
      <c r="I60" s="26"/>
    </row>
    <row r="61" spans="1:9" s="26" customFormat="1" x14ac:dyDescent="0.2">
      <c r="A61"/>
      <c r="B61"/>
      <c r="C61"/>
    </row>
    <row r="62" spans="1:9" s="26" customFormat="1" x14ac:dyDescent="0.2">
      <c r="A62" s="91"/>
      <c r="B62"/>
      <c r="C62"/>
      <c r="H62"/>
    </row>
    <row r="63" spans="1:9" s="26" customFormat="1" x14ac:dyDescent="0.2">
      <c r="A63" s="91"/>
      <c r="B63"/>
      <c r="C63"/>
      <c r="H63"/>
    </row>
    <row r="64" spans="1:9" s="24" customFormat="1" x14ac:dyDescent="0.2">
      <c r="A64" s="91"/>
      <c r="B64"/>
      <c r="C64"/>
      <c r="F64" s="26"/>
      <c r="G64" s="26"/>
      <c r="H64" s="26"/>
      <c r="I64" s="26"/>
    </row>
    <row r="65" spans="1:9" s="24" customFormat="1" x14ac:dyDescent="0.2">
      <c r="A65" s="91"/>
      <c r="B65"/>
      <c r="C65"/>
      <c r="D65" s="26"/>
      <c r="F65"/>
      <c r="G65" s="26"/>
      <c r="H65" s="26"/>
      <c r="I65" s="26"/>
    </row>
    <row r="66" spans="1:9" s="24" customFormat="1" x14ac:dyDescent="0.2">
      <c r="A66" s="91"/>
      <c r="B66"/>
      <c r="C66"/>
      <c r="D66" s="26"/>
      <c r="F66"/>
      <c r="G66" s="26"/>
      <c r="H66"/>
      <c r="I66" s="26"/>
    </row>
    <row r="67" spans="1:9" s="26" customFormat="1" x14ac:dyDescent="0.2">
      <c r="A67" s="91"/>
      <c r="B67"/>
      <c r="C67"/>
      <c r="G67"/>
      <c r="H67"/>
    </row>
    <row r="68" spans="1:9" s="26" customFormat="1" x14ac:dyDescent="0.2">
      <c r="A68" s="91"/>
      <c r="B68"/>
      <c r="C68"/>
      <c r="G68"/>
      <c r="H68"/>
      <c r="I68"/>
    </row>
    <row r="69" spans="1:9" x14ac:dyDescent="0.2">
      <c r="A69" s="91"/>
    </row>
    <row r="70" spans="1:9" x14ac:dyDescent="0.2">
      <c r="A70" s="91"/>
    </row>
    <row r="71" spans="1:9" s="26" customFormat="1" x14ac:dyDescent="0.2">
      <c r="A71" s="91"/>
      <c r="B71"/>
      <c r="C71"/>
      <c r="F71"/>
      <c r="G71"/>
      <c r="H71"/>
      <c r="I71"/>
    </row>
    <row r="72" spans="1:9" s="26" customFormat="1" x14ac:dyDescent="0.2">
      <c r="A72" s="91"/>
      <c r="B72"/>
      <c r="C72"/>
      <c r="F72"/>
      <c r="G72"/>
      <c r="H72"/>
      <c r="I72"/>
    </row>
    <row r="73" spans="1:9" x14ac:dyDescent="0.2">
      <c r="A73" s="91"/>
    </row>
    <row r="74" spans="1:9" x14ac:dyDescent="0.2">
      <c r="A74" s="91"/>
    </row>
    <row r="75" spans="1:9" x14ac:dyDescent="0.2">
      <c r="A75" s="91"/>
    </row>
    <row r="76" spans="1:9" x14ac:dyDescent="0.2">
      <c r="A76" s="91"/>
    </row>
    <row r="77" spans="1:9" x14ac:dyDescent="0.2">
      <c r="A77" s="91"/>
    </row>
    <row r="78" spans="1:9" x14ac:dyDescent="0.2">
      <c r="A78" s="91"/>
    </row>
  </sheetData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2D54-BBEE-4CD6-AA5A-1BA3F065F113}">
  <dimension ref="A1:K78"/>
  <sheetViews>
    <sheetView workbookViewId="0">
      <selection activeCell="A30" sqref="A30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692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3439.14</v>
      </c>
      <c r="C3" s="51">
        <v>3439.14</v>
      </c>
      <c r="F3" s="33">
        <f>B3+B4</f>
        <v>4880.67</v>
      </c>
      <c r="G3" s="27">
        <f>C9+C10+C11+C12+C13+C14+C15+C16+C17+C18</f>
        <v>3670.6799999999994</v>
      </c>
      <c r="H3" s="27">
        <f>F3-G3</f>
        <v>1209.9900000000007</v>
      </c>
    </row>
    <row r="4" spans="1:11" x14ac:dyDescent="0.2">
      <c r="A4" s="26" t="s">
        <v>265</v>
      </c>
      <c r="B4" s="51">
        <v>1441.53</v>
      </c>
      <c r="C4" s="51">
        <v>1441.53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4880.67</v>
      </c>
      <c r="G6" s="27">
        <f>C21+C22+C23+C24+C25+C26+C27+C28+C29+C30</f>
        <v>2041</v>
      </c>
      <c r="H6" s="27">
        <f>F6-G6</f>
        <v>2839.67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2256.87</v>
      </c>
      <c r="D9" s="26"/>
      <c r="F9" s="26"/>
      <c r="H9" s="26"/>
      <c r="I9" s="26"/>
      <c r="J9" s="45"/>
    </row>
    <row r="10" spans="1:11" s="24" customFormat="1" x14ac:dyDescent="0.2">
      <c r="A10" s="20" t="s">
        <v>675</v>
      </c>
      <c r="B10" s="20" t="s">
        <v>389</v>
      </c>
      <c r="C10" s="22">
        <v>69.59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660</v>
      </c>
      <c r="B11" s="20" t="s">
        <v>394</v>
      </c>
      <c r="C11" s="21">
        <v>98.74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653</v>
      </c>
      <c r="B12" s="20" t="s">
        <v>657</v>
      </c>
      <c r="C12" s="21">
        <v>40</v>
      </c>
      <c r="D12" s="26"/>
      <c r="F12" s="25">
        <f>(H3+H6)/2</f>
        <v>2024.8300000000004</v>
      </c>
      <c r="G12" s="26"/>
      <c r="H12" s="26"/>
      <c r="I12" s="26"/>
      <c r="K12" s="45"/>
    </row>
    <row r="13" spans="1:11" s="24" customFormat="1" x14ac:dyDescent="0.2">
      <c r="A13" s="20" t="s">
        <v>633</v>
      </c>
      <c r="B13" s="20" t="s">
        <v>518</v>
      </c>
      <c r="C13" s="21">
        <v>542.02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626</v>
      </c>
      <c r="B14" s="20" t="s">
        <v>398</v>
      </c>
      <c r="C14" s="21">
        <v>125.16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650</v>
      </c>
      <c r="B15" s="20" t="s">
        <v>401</v>
      </c>
      <c r="C15" s="21">
        <v>14.22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651</v>
      </c>
      <c r="B16" s="20" t="s">
        <v>523</v>
      </c>
      <c r="C16" s="21">
        <v>7.99</v>
      </c>
      <c r="D16" s="26"/>
      <c r="F16" s="26"/>
      <c r="I16" s="26"/>
      <c r="J16" s="66"/>
      <c r="K16" s="45"/>
    </row>
    <row r="17" spans="1:11" s="24" customFormat="1" x14ac:dyDescent="0.2">
      <c r="A17" s="20" t="s">
        <v>688</v>
      </c>
      <c r="B17" s="20" t="s">
        <v>689</v>
      </c>
      <c r="C17" s="21">
        <v>150</v>
      </c>
      <c r="D17" s="26"/>
      <c r="F17" s="26"/>
      <c r="I17" s="26"/>
      <c r="J17" s="66"/>
      <c r="K17" s="45"/>
    </row>
    <row r="18" spans="1:11" s="24" customFormat="1" x14ac:dyDescent="0.2">
      <c r="A18" s="20" t="s">
        <v>687</v>
      </c>
      <c r="B18" s="20" t="s">
        <v>400</v>
      </c>
      <c r="C18" s="21">
        <v>366.09</v>
      </c>
      <c r="D18" s="90"/>
      <c r="F18" s="26"/>
      <c r="I18" s="26"/>
      <c r="J18" s="26"/>
      <c r="K18" s="26"/>
    </row>
    <row r="19" spans="1:11" s="24" customFormat="1" x14ac:dyDescent="0.2">
      <c r="A19" s="29"/>
      <c r="B19" s="29"/>
      <c r="C19" s="30"/>
      <c r="D19" s="26"/>
      <c r="F19" s="26"/>
      <c r="I19" s="26"/>
      <c r="J19" s="26"/>
      <c r="K19" s="26"/>
    </row>
    <row r="20" spans="1:11" s="24" customFormat="1" x14ac:dyDescent="0.2">
      <c r="A20" s="32" t="s">
        <v>13</v>
      </c>
      <c r="B20" s="25"/>
      <c r="C20" s="27"/>
      <c r="D20" s="26"/>
      <c r="F20" s="51"/>
      <c r="I20" s="26"/>
      <c r="J20" s="26"/>
      <c r="K20" s="26"/>
    </row>
    <row r="21" spans="1:11" s="24" customFormat="1" x14ac:dyDescent="0.2">
      <c r="A21" s="20" t="s">
        <v>598</v>
      </c>
      <c r="B21" s="20" t="s">
        <v>448</v>
      </c>
      <c r="C21" s="21">
        <v>483.15</v>
      </c>
      <c r="D21" s="26"/>
      <c r="J21" s="41"/>
    </row>
    <row r="22" spans="1:11" s="24" customFormat="1" x14ac:dyDescent="0.2">
      <c r="A22" s="20" t="s">
        <v>267</v>
      </c>
      <c r="B22" s="20" t="s">
        <v>404</v>
      </c>
      <c r="C22" s="55">
        <v>55</v>
      </c>
      <c r="D22" s="26"/>
      <c r="F22" s="51"/>
    </row>
    <row r="23" spans="1:11" s="24" customFormat="1" x14ac:dyDescent="0.2">
      <c r="A23" s="20" t="s">
        <v>79</v>
      </c>
      <c r="B23" s="20" t="s">
        <v>390</v>
      </c>
      <c r="C23" s="21">
        <v>210.75</v>
      </c>
      <c r="F23" s="26"/>
      <c r="G23" s="111"/>
    </row>
    <row r="24" spans="1:11" s="24" customFormat="1" x14ac:dyDescent="0.2">
      <c r="A24" s="20" t="s">
        <v>666</v>
      </c>
      <c r="B24" s="20" t="s">
        <v>664</v>
      </c>
      <c r="C24" s="21">
        <v>120.67</v>
      </c>
      <c r="F24" s="26"/>
      <c r="G24" s="111"/>
    </row>
    <row r="25" spans="1:11" s="24" customFormat="1" x14ac:dyDescent="0.2">
      <c r="A25" s="20" t="s">
        <v>302</v>
      </c>
      <c r="B25" s="20" t="s">
        <v>388</v>
      </c>
      <c r="C25" s="21">
        <v>340.45</v>
      </c>
      <c r="D25" s="26"/>
      <c r="F25" s="26"/>
      <c r="G25" s="111"/>
    </row>
    <row r="26" spans="1:11" s="24" customFormat="1" x14ac:dyDescent="0.2">
      <c r="A26" s="20" t="s">
        <v>688</v>
      </c>
      <c r="B26" s="20" t="s">
        <v>690</v>
      </c>
      <c r="C26" s="21">
        <v>150</v>
      </c>
      <c r="D26" s="26"/>
      <c r="F26" s="26"/>
      <c r="I26" s="102"/>
    </row>
    <row r="27" spans="1:11" s="24" customFormat="1" x14ac:dyDescent="0.2">
      <c r="A27" s="20" t="s">
        <v>691</v>
      </c>
      <c r="B27" s="20" t="s">
        <v>690</v>
      </c>
      <c r="C27" s="21">
        <v>250</v>
      </c>
      <c r="D27" s="26"/>
      <c r="F27" s="26"/>
      <c r="I27" s="102"/>
    </row>
    <row r="28" spans="1:11" s="24" customFormat="1" x14ac:dyDescent="0.2">
      <c r="A28" s="20" t="s">
        <v>661</v>
      </c>
      <c r="B28" s="20" t="s">
        <v>440</v>
      </c>
      <c r="C28" s="21">
        <v>342.81</v>
      </c>
      <c r="D28" s="26"/>
      <c r="F28" s="26"/>
      <c r="I28" s="102"/>
    </row>
    <row r="29" spans="1:11" s="24" customFormat="1" x14ac:dyDescent="0.2">
      <c r="A29" s="20" t="s">
        <v>600</v>
      </c>
      <c r="B29" s="109" t="s">
        <v>388</v>
      </c>
      <c r="C29" s="21">
        <v>69</v>
      </c>
      <c r="D29" s="26"/>
      <c r="F29" s="26"/>
      <c r="I29" s="102"/>
    </row>
    <row r="30" spans="1:11" s="24" customFormat="1" x14ac:dyDescent="0.2">
      <c r="A30" s="20" t="s">
        <v>601</v>
      </c>
      <c r="B30" s="20" t="s">
        <v>395</v>
      </c>
      <c r="C30" s="21">
        <v>19.170000000000002</v>
      </c>
      <c r="D30" s="26"/>
      <c r="F30" s="26"/>
      <c r="I30" s="102"/>
    </row>
    <row r="31" spans="1:11" s="24" customFormat="1" x14ac:dyDescent="0.2">
      <c r="A31" s="29"/>
      <c r="B31" s="29"/>
      <c r="C31" s="29"/>
      <c r="D31" s="26"/>
      <c r="F31" s="26"/>
      <c r="I31" s="102"/>
    </row>
    <row r="32" spans="1:11" s="24" customFormat="1" x14ac:dyDescent="0.2">
      <c r="A32" s="26"/>
      <c r="B32" s="26"/>
      <c r="C32" s="26"/>
      <c r="F32" s="26"/>
      <c r="I32" s="102"/>
    </row>
    <row r="33" spans="1:9" s="24" customFormat="1" x14ac:dyDescent="0.2">
      <c r="A33" s="26"/>
      <c r="B33" s="26"/>
      <c r="C33" s="26"/>
      <c r="D33" s="26"/>
      <c r="F33" s="26"/>
      <c r="I33" s="52"/>
    </row>
    <row r="34" spans="1:9" s="24" customFormat="1" x14ac:dyDescent="0.2">
      <c r="A34" s="26"/>
      <c r="B34" s="26"/>
      <c r="C34" s="26"/>
      <c r="D34" s="26"/>
      <c r="I34" s="52"/>
    </row>
    <row r="35" spans="1:9" s="24" customFormat="1" x14ac:dyDescent="0.2">
      <c r="D35" s="26"/>
      <c r="H35" s="26"/>
      <c r="I35" s="52"/>
    </row>
    <row r="36" spans="1:9" s="24" customFormat="1" x14ac:dyDescent="0.2">
      <c r="D36" s="26"/>
      <c r="G36" s="110"/>
      <c r="H36" s="26"/>
      <c r="I36" s="52"/>
    </row>
    <row r="37" spans="1:9" s="24" customFormat="1" x14ac:dyDescent="0.2">
      <c r="D37" s="26"/>
      <c r="H37" s="26"/>
      <c r="I37" s="52"/>
    </row>
    <row r="38" spans="1:9" s="24" customFormat="1" x14ac:dyDescent="0.2">
      <c r="D38" s="26"/>
      <c r="E38" s="101"/>
      <c r="H38" s="26"/>
      <c r="I38" s="52"/>
    </row>
    <row r="39" spans="1:9" s="24" customFormat="1" x14ac:dyDescent="0.2">
      <c r="D39" s="26"/>
      <c r="E39" s="101"/>
      <c r="H39" s="26"/>
      <c r="I39" s="26"/>
    </row>
    <row r="40" spans="1:9" s="24" customFormat="1" x14ac:dyDescent="0.2">
      <c r="D40" s="26"/>
      <c r="E40" s="101"/>
      <c r="H40" s="26"/>
      <c r="I40" s="26"/>
    </row>
    <row r="41" spans="1:9" s="24" customFormat="1" x14ac:dyDescent="0.2">
      <c r="D41" s="26"/>
      <c r="E41" s="104"/>
      <c r="H41" s="26"/>
      <c r="I41" s="26"/>
    </row>
    <row r="42" spans="1:9" s="24" customFormat="1" x14ac:dyDescent="0.2">
      <c r="D42" s="26"/>
      <c r="E42" s="101"/>
      <c r="H42" s="26"/>
      <c r="I42" s="26"/>
    </row>
    <row r="43" spans="1:9" s="24" customFormat="1" x14ac:dyDescent="0.2">
      <c r="A43" s="26"/>
      <c r="D43" s="26"/>
      <c r="E43" s="101"/>
      <c r="H43" s="26"/>
      <c r="I43" s="26"/>
    </row>
    <row r="44" spans="1:9" s="24" customFormat="1" x14ac:dyDescent="0.2">
      <c r="A44" s="26"/>
      <c r="H44" s="26"/>
      <c r="I44" s="26"/>
    </row>
    <row r="45" spans="1:9" s="24" customFormat="1" x14ac:dyDescent="0.2">
      <c r="A45" s="26"/>
      <c r="H45" s="26"/>
      <c r="I45" s="26"/>
    </row>
    <row r="46" spans="1:9" s="24" customFormat="1" x14ac:dyDescent="0.2">
      <c r="A46" s="26"/>
      <c r="C46" s="26"/>
      <c r="H46" s="26"/>
      <c r="I46" s="26"/>
    </row>
    <row r="47" spans="1:9" s="24" customFormat="1" x14ac:dyDescent="0.2">
      <c r="A47" s="26"/>
      <c r="C47" s="26"/>
      <c r="H47" s="26"/>
      <c r="I47" s="26"/>
    </row>
    <row r="48" spans="1:9" s="24" customFormat="1" x14ac:dyDescent="0.2">
      <c r="A48" s="26"/>
      <c r="C48" s="26"/>
      <c r="F48" s="108"/>
      <c r="G48" s="45"/>
      <c r="H48" s="26"/>
      <c r="I48" s="26"/>
    </row>
    <row r="49" spans="1:9" s="24" customFormat="1" x14ac:dyDescent="0.2">
      <c r="A49" s="26"/>
      <c r="C49" s="26"/>
      <c r="F49" s="26"/>
      <c r="G49" s="46"/>
      <c r="H49" s="26"/>
      <c r="I49" s="26"/>
    </row>
    <row r="50" spans="1:9" s="24" customFormat="1" x14ac:dyDescent="0.2">
      <c r="F50" s="26"/>
      <c r="G50" s="46"/>
      <c r="H50" s="26"/>
      <c r="I50" s="26"/>
    </row>
    <row r="51" spans="1:9" s="24" customFormat="1" x14ac:dyDescent="0.2">
      <c r="A51" s="26"/>
      <c r="C51" s="26"/>
      <c r="F51" s="26"/>
      <c r="G51" s="46"/>
      <c r="H51" s="26"/>
      <c r="I51" s="26"/>
    </row>
    <row r="52" spans="1:9" s="24" customFormat="1" x14ac:dyDescent="0.2">
      <c r="A52" s="26"/>
      <c r="C52" s="26"/>
      <c r="F52"/>
      <c r="G52" s="46"/>
      <c r="H52" s="26"/>
      <c r="I52" s="26"/>
    </row>
    <row r="53" spans="1:9" s="24" customFormat="1" x14ac:dyDescent="0.2">
      <c r="A53" s="26"/>
      <c r="C53" s="26"/>
      <c r="F53" s="26"/>
      <c r="G53" s="26"/>
      <c r="H53" s="26"/>
      <c r="I53" s="26"/>
    </row>
    <row r="54" spans="1:9" s="24" customFormat="1" x14ac:dyDescent="0.2">
      <c r="F54" s="26"/>
      <c r="G54" s="26"/>
      <c r="I54" s="26"/>
    </row>
    <row r="55" spans="1:9" s="24" customFormat="1" x14ac:dyDescent="0.2">
      <c r="A55" s="26"/>
      <c r="B55" s="26"/>
      <c r="C55"/>
      <c r="F55" s="26"/>
      <c r="G55" s="26"/>
      <c r="I55" s="26"/>
    </row>
    <row r="56" spans="1:9" s="24" customFormat="1" x14ac:dyDescent="0.2">
      <c r="A56" s="91"/>
      <c r="B56" s="26"/>
      <c r="C56"/>
      <c r="F56" s="26"/>
      <c r="G56" s="26"/>
      <c r="H56" s="26"/>
    </row>
    <row r="57" spans="1:9" s="24" customFormat="1" x14ac:dyDescent="0.2">
      <c r="A57" s="91"/>
      <c r="B57"/>
      <c r="C57"/>
      <c r="F57" s="26"/>
      <c r="G57" s="26"/>
      <c r="H57" s="26"/>
    </row>
    <row r="58" spans="1:9" s="26" customFormat="1" x14ac:dyDescent="0.2">
      <c r="A58" s="91"/>
      <c r="C58"/>
    </row>
    <row r="59" spans="1:9" s="26" customFormat="1" x14ac:dyDescent="0.2">
      <c r="A59" s="91"/>
      <c r="C59"/>
      <c r="H59" s="24"/>
    </row>
    <row r="60" spans="1:9" s="26" customFormat="1" x14ac:dyDescent="0.2">
      <c r="A60"/>
      <c r="B60"/>
      <c r="C60"/>
      <c r="G60" s="24"/>
      <c r="H60" s="24"/>
    </row>
    <row r="61" spans="1:9" s="26" customFormat="1" x14ac:dyDescent="0.2">
      <c r="A61"/>
      <c r="B61"/>
      <c r="C61"/>
      <c r="H61" s="24"/>
    </row>
    <row r="62" spans="1:9" s="24" customFormat="1" x14ac:dyDescent="0.2">
      <c r="A62" s="91"/>
      <c r="B62"/>
      <c r="C62"/>
      <c r="F62" s="26"/>
      <c r="G62" s="26"/>
      <c r="H62" s="26"/>
      <c r="I62" s="26"/>
    </row>
    <row r="63" spans="1:9" s="26" customFormat="1" x14ac:dyDescent="0.2">
      <c r="A63" s="91"/>
      <c r="B63"/>
      <c r="C63"/>
    </row>
    <row r="64" spans="1:9" s="26" customFormat="1" x14ac:dyDescent="0.2">
      <c r="A64" s="91"/>
      <c r="B64"/>
      <c r="C64"/>
      <c r="H64"/>
    </row>
    <row r="65" spans="1:9" s="26" customFormat="1" x14ac:dyDescent="0.2">
      <c r="A65" s="91"/>
      <c r="B65"/>
      <c r="C65"/>
      <c r="H65"/>
    </row>
    <row r="66" spans="1:9" s="24" customFormat="1" x14ac:dyDescent="0.2">
      <c r="A66" s="91"/>
      <c r="B66"/>
      <c r="C66"/>
      <c r="F66" s="26"/>
      <c r="G66" s="26"/>
      <c r="H66" s="26"/>
      <c r="I66" s="26"/>
    </row>
    <row r="67" spans="1:9" s="24" customFormat="1" x14ac:dyDescent="0.2">
      <c r="A67" s="91"/>
      <c r="B67"/>
      <c r="C67"/>
      <c r="D67" s="26"/>
      <c r="F67"/>
      <c r="G67" s="26"/>
      <c r="H67" s="26"/>
      <c r="I67" s="26"/>
    </row>
    <row r="68" spans="1:9" s="24" customFormat="1" x14ac:dyDescent="0.2">
      <c r="A68" s="91"/>
      <c r="B68"/>
      <c r="C68"/>
      <c r="D68" s="26"/>
      <c r="F68"/>
      <c r="G68" s="26"/>
      <c r="H68"/>
      <c r="I68" s="26"/>
    </row>
    <row r="69" spans="1:9" s="26" customFormat="1" x14ac:dyDescent="0.2">
      <c r="A69" s="91"/>
      <c r="B69"/>
      <c r="C69"/>
      <c r="G69"/>
      <c r="H69"/>
    </row>
    <row r="70" spans="1:9" s="26" customFormat="1" x14ac:dyDescent="0.2">
      <c r="A70" s="91"/>
      <c r="B70"/>
      <c r="C70"/>
      <c r="G70"/>
      <c r="H70"/>
      <c r="I70"/>
    </row>
    <row r="71" spans="1:9" x14ac:dyDescent="0.2">
      <c r="A71" s="91"/>
    </row>
    <row r="72" spans="1:9" x14ac:dyDescent="0.2">
      <c r="A72" s="91"/>
    </row>
    <row r="73" spans="1:9" s="26" customFormat="1" x14ac:dyDescent="0.2">
      <c r="A73" s="91"/>
      <c r="B73"/>
      <c r="C73"/>
      <c r="F73"/>
      <c r="G73"/>
      <c r="H73"/>
      <c r="I73"/>
    </row>
    <row r="74" spans="1:9" s="26" customFormat="1" x14ac:dyDescent="0.2">
      <c r="A74" s="91"/>
      <c r="B74"/>
      <c r="C74"/>
      <c r="F74"/>
      <c r="G74"/>
      <c r="H74"/>
      <c r="I74"/>
    </row>
    <row r="75" spans="1:9" x14ac:dyDescent="0.2">
      <c r="A75" s="91"/>
    </row>
    <row r="76" spans="1:9" x14ac:dyDescent="0.2">
      <c r="A76" s="91"/>
    </row>
    <row r="77" spans="1:9" x14ac:dyDescent="0.2">
      <c r="A77" s="91"/>
    </row>
    <row r="78" spans="1:9" x14ac:dyDescent="0.2">
      <c r="A78" s="91"/>
    </row>
  </sheetData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80DE6-676C-485F-A5BB-99A80DF26BD3}">
  <dimension ref="A1:K77"/>
  <sheetViews>
    <sheetView workbookViewId="0">
      <selection activeCell="C24" sqref="C24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686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3439.14</v>
      </c>
      <c r="C3" s="51">
        <v>3439.14</v>
      </c>
      <c r="F3" s="33">
        <f>B3+B4</f>
        <v>4880.67</v>
      </c>
      <c r="G3" s="27">
        <f>C9+C10+C11+C12+C13+C14+C15+C16+C17+C18</f>
        <v>3618.1999999999994</v>
      </c>
      <c r="H3" s="27">
        <f>F3-G3</f>
        <v>1262.4700000000007</v>
      </c>
    </row>
    <row r="4" spans="1:11" x14ac:dyDescent="0.2">
      <c r="A4" s="26" t="s">
        <v>265</v>
      </c>
      <c r="B4" s="51">
        <v>1441.53</v>
      </c>
      <c r="C4" s="51">
        <v>1441.53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4880.67</v>
      </c>
      <c r="G6" s="27">
        <f>C21+C22+C23+C24+C25+C26+C27+C28+C29</f>
        <v>1762.55</v>
      </c>
      <c r="H6" s="27">
        <f>F6-G6</f>
        <v>3118.12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2256.87</v>
      </c>
      <c r="D9" s="26"/>
      <c r="F9" s="26"/>
      <c r="H9" s="26"/>
      <c r="I9" s="26"/>
      <c r="J9" s="45"/>
    </row>
    <row r="10" spans="1:11" s="24" customFormat="1" x14ac:dyDescent="0.2">
      <c r="A10" s="20" t="s">
        <v>675</v>
      </c>
      <c r="B10" s="20" t="s">
        <v>389</v>
      </c>
      <c r="C10" s="22">
        <v>69.59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660</v>
      </c>
      <c r="B11" s="20" t="s">
        <v>394</v>
      </c>
      <c r="C11" s="21">
        <v>98.74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653</v>
      </c>
      <c r="B12" s="20" t="s">
        <v>657</v>
      </c>
      <c r="C12" s="21">
        <v>40</v>
      </c>
      <c r="D12" s="26"/>
      <c r="F12" s="25">
        <f>(H3+H6)/2</f>
        <v>2190.2950000000001</v>
      </c>
      <c r="G12" s="26"/>
      <c r="H12" s="26"/>
      <c r="I12" s="26"/>
      <c r="K12" s="45"/>
    </row>
    <row r="13" spans="1:11" s="24" customFormat="1" x14ac:dyDescent="0.2">
      <c r="A13" s="20" t="s">
        <v>633</v>
      </c>
      <c r="B13" s="20" t="s">
        <v>518</v>
      </c>
      <c r="C13" s="21">
        <v>542.02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626</v>
      </c>
      <c r="B14" s="20" t="s">
        <v>398</v>
      </c>
      <c r="C14" s="21">
        <v>72.680000000000007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650</v>
      </c>
      <c r="B15" s="20" t="s">
        <v>401</v>
      </c>
      <c r="C15" s="21">
        <v>14.22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651</v>
      </c>
      <c r="B16" s="20" t="s">
        <v>523</v>
      </c>
      <c r="C16" s="21">
        <v>7.99</v>
      </c>
      <c r="D16" s="26"/>
      <c r="F16" s="26"/>
      <c r="I16" s="26"/>
      <c r="J16" s="66"/>
      <c r="K16" s="45"/>
    </row>
    <row r="17" spans="1:11" s="24" customFormat="1" x14ac:dyDescent="0.2">
      <c r="A17" s="20" t="s">
        <v>688</v>
      </c>
      <c r="B17" s="20" t="s">
        <v>689</v>
      </c>
      <c r="C17" s="21">
        <v>150</v>
      </c>
      <c r="D17" s="26"/>
      <c r="F17" s="26"/>
      <c r="I17" s="26"/>
      <c r="J17" s="66"/>
      <c r="K17" s="45"/>
    </row>
    <row r="18" spans="1:11" s="24" customFormat="1" x14ac:dyDescent="0.2">
      <c r="A18" s="20" t="s">
        <v>687</v>
      </c>
      <c r="B18" s="20" t="s">
        <v>400</v>
      </c>
      <c r="C18" s="21">
        <v>366.09</v>
      </c>
      <c r="D18" s="90"/>
      <c r="F18" s="26"/>
      <c r="I18" s="26"/>
      <c r="J18" s="26"/>
      <c r="K18" s="26"/>
    </row>
    <row r="19" spans="1:11" s="24" customFormat="1" x14ac:dyDescent="0.2">
      <c r="A19" s="29"/>
      <c r="B19" s="29"/>
      <c r="C19" s="30"/>
      <c r="D19" s="26"/>
      <c r="F19" s="26"/>
      <c r="I19" s="26"/>
      <c r="J19" s="26"/>
      <c r="K19" s="26"/>
    </row>
    <row r="20" spans="1:11" s="24" customFormat="1" x14ac:dyDescent="0.2">
      <c r="A20" s="32" t="s">
        <v>13</v>
      </c>
      <c r="B20" s="25"/>
      <c r="C20" s="27"/>
      <c r="D20" s="26"/>
      <c r="F20" s="51">
        <v>11373.01</v>
      </c>
      <c r="I20" s="26"/>
      <c r="J20" s="26"/>
      <c r="K20" s="26"/>
    </row>
    <row r="21" spans="1:11" s="24" customFormat="1" x14ac:dyDescent="0.2">
      <c r="A21" s="20" t="s">
        <v>598</v>
      </c>
      <c r="B21" s="20" t="s">
        <v>448</v>
      </c>
      <c r="C21" s="21">
        <v>483.15</v>
      </c>
      <c r="D21" s="26"/>
      <c r="F21" s="26"/>
      <c r="J21" s="41"/>
    </row>
    <row r="22" spans="1:11" s="24" customFormat="1" x14ac:dyDescent="0.2">
      <c r="A22" s="20" t="s">
        <v>267</v>
      </c>
      <c r="B22" s="20" t="s">
        <v>404</v>
      </c>
      <c r="C22" s="55">
        <v>55</v>
      </c>
      <c r="D22" s="26"/>
      <c r="F22" s="26"/>
    </row>
    <row r="23" spans="1:11" s="24" customFormat="1" x14ac:dyDescent="0.2">
      <c r="A23" s="20" t="s">
        <v>79</v>
      </c>
      <c r="B23" s="20" t="s">
        <v>390</v>
      </c>
      <c r="C23" s="21">
        <v>210.75</v>
      </c>
      <c r="F23" s="26"/>
      <c r="G23" s="111"/>
    </row>
    <row r="24" spans="1:11" s="24" customFormat="1" x14ac:dyDescent="0.2">
      <c r="A24" s="20" t="s">
        <v>666</v>
      </c>
      <c r="B24" s="20" t="s">
        <v>664</v>
      </c>
      <c r="C24" s="21">
        <v>120.67</v>
      </c>
      <c r="F24" s="26"/>
      <c r="G24" s="111"/>
    </row>
    <row r="25" spans="1:11" s="24" customFormat="1" x14ac:dyDescent="0.2">
      <c r="A25" s="20" t="s">
        <v>661</v>
      </c>
      <c r="B25" s="20" t="s">
        <v>440</v>
      </c>
      <c r="C25" s="21">
        <v>342.81</v>
      </c>
      <c r="D25" s="26"/>
      <c r="F25" s="26"/>
      <c r="G25" s="111"/>
    </row>
    <row r="26" spans="1:11" s="24" customFormat="1" x14ac:dyDescent="0.2">
      <c r="A26" s="20" t="s">
        <v>302</v>
      </c>
      <c r="B26" s="20" t="s">
        <v>388</v>
      </c>
      <c r="C26" s="21">
        <v>131</v>
      </c>
      <c r="D26" s="26"/>
      <c r="F26" s="26"/>
      <c r="I26" s="102"/>
    </row>
    <row r="27" spans="1:11" s="24" customFormat="1" x14ac:dyDescent="0.2">
      <c r="A27" s="20" t="s">
        <v>688</v>
      </c>
      <c r="B27" s="20" t="s">
        <v>690</v>
      </c>
      <c r="C27" s="21">
        <v>150</v>
      </c>
      <c r="D27" s="26"/>
      <c r="F27" s="26"/>
      <c r="I27" s="102"/>
    </row>
    <row r="28" spans="1:11" s="24" customFormat="1" x14ac:dyDescent="0.2">
      <c r="A28" s="20" t="s">
        <v>691</v>
      </c>
      <c r="B28" s="20" t="s">
        <v>690</v>
      </c>
      <c r="C28" s="21">
        <v>250</v>
      </c>
      <c r="D28" s="26"/>
      <c r="F28" s="26"/>
      <c r="I28" s="102"/>
    </row>
    <row r="29" spans="1:11" s="24" customFormat="1" x14ac:dyDescent="0.2">
      <c r="A29" s="20" t="s">
        <v>601</v>
      </c>
      <c r="B29" s="20" t="s">
        <v>395</v>
      </c>
      <c r="C29" s="21">
        <v>19.170000000000002</v>
      </c>
      <c r="D29" s="26"/>
      <c r="F29" s="26"/>
      <c r="I29" s="102"/>
    </row>
    <row r="30" spans="1:11" s="24" customFormat="1" x14ac:dyDescent="0.2">
      <c r="A30" s="29"/>
      <c r="B30" s="29"/>
      <c r="C30" s="29"/>
      <c r="F30" s="26"/>
      <c r="I30" s="102"/>
    </row>
    <row r="31" spans="1:11" s="24" customFormat="1" x14ac:dyDescent="0.2">
      <c r="A31" s="26"/>
      <c r="B31" s="26"/>
      <c r="C31" s="26"/>
      <c r="D31" s="26"/>
      <c r="F31" s="26"/>
      <c r="I31" s="52"/>
    </row>
    <row r="32" spans="1:11" s="24" customFormat="1" x14ac:dyDescent="0.2">
      <c r="A32" s="26"/>
      <c r="B32" s="26"/>
      <c r="C32" s="26"/>
      <c r="D32" s="26"/>
      <c r="I32" s="52"/>
    </row>
    <row r="33" spans="1:9" s="24" customFormat="1" x14ac:dyDescent="0.2">
      <c r="A33" s="26"/>
      <c r="B33" s="26" t="s">
        <v>636</v>
      </c>
      <c r="C33" s="26" t="s">
        <v>637</v>
      </c>
      <c r="D33" s="26"/>
      <c r="H33" s="26"/>
      <c r="I33" s="52"/>
    </row>
    <row r="34" spans="1:9" s="24" customFormat="1" x14ac:dyDescent="0.2">
      <c r="A34" s="20" t="s">
        <v>600</v>
      </c>
      <c r="B34" s="109">
        <v>4025</v>
      </c>
      <c r="C34" s="21">
        <v>69</v>
      </c>
      <c r="D34" s="26"/>
      <c r="G34" s="110"/>
      <c r="H34" s="26"/>
      <c r="I34" s="52"/>
    </row>
    <row r="35" spans="1:9" s="24" customFormat="1" x14ac:dyDescent="0.2">
      <c r="D35" s="26"/>
      <c r="H35" s="26"/>
      <c r="I35" s="52"/>
    </row>
    <row r="36" spans="1:9" s="24" customFormat="1" x14ac:dyDescent="0.2">
      <c r="D36" s="26"/>
      <c r="E36" s="101"/>
      <c r="H36" s="26"/>
      <c r="I36" s="52"/>
    </row>
    <row r="37" spans="1:9" s="24" customFormat="1" x14ac:dyDescent="0.2">
      <c r="D37" s="26"/>
      <c r="E37" s="101"/>
      <c r="H37" s="26"/>
      <c r="I37" s="26"/>
    </row>
    <row r="38" spans="1:9" s="24" customFormat="1" x14ac:dyDescent="0.2">
      <c r="D38" s="26"/>
      <c r="E38" s="101"/>
      <c r="H38" s="26"/>
      <c r="I38" s="26"/>
    </row>
    <row r="39" spans="1:9" s="24" customFormat="1" x14ac:dyDescent="0.2">
      <c r="D39" s="26"/>
      <c r="E39" s="104"/>
      <c r="H39" s="26"/>
      <c r="I39" s="26"/>
    </row>
    <row r="40" spans="1:9" s="24" customFormat="1" x14ac:dyDescent="0.2">
      <c r="D40" s="26"/>
      <c r="E40" s="101"/>
      <c r="H40" s="26"/>
      <c r="I40" s="26"/>
    </row>
    <row r="41" spans="1:9" s="24" customFormat="1" x14ac:dyDescent="0.2">
      <c r="D41" s="26"/>
      <c r="E41" s="101"/>
      <c r="H41" s="26"/>
      <c r="I41" s="26"/>
    </row>
    <row r="42" spans="1:9" s="24" customFormat="1" x14ac:dyDescent="0.2">
      <c r="A42" s="26"/>
      <c r="H42" s="26"/>
      <c r="I42" s="26"/>
    </row>
    <row r="43" spans="1:9" s="24" customFormat="1" x14ac:dyDescent="0.2">
      <c r="A43" s="26"/>
      <c r="H43" s="26"/>
      <c r="I43" s="26"/>
    </row>
    <row r="44" spans="1:9" s="24" customFormat="1" x14ac:dyDescent="0.2">
      <c r="A44" s="26"/>
      <c r="H44" s="26"/>
      <c r="I44" s="26"/>
    </row>
    <row r="45" spans="1:9" s="24" customFormat="1" x14ac:dyDescent="0.2">
      <c r="A45" s="26"/>
      <c r="C45" s="26"/>
      <c r="H45" s="26"/>
      <c r="I45" s="26"/>
    </row>
    <row r="46" spans="1:9" s="24" customFormat="1" x14ac:dyDescent="0.2">
      <c r="A46" s="26"/>
      <c r="C46" s="26"/>
      <c r="F46" s="108"/>
      <c r="G46" s="45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A48" s="26"/>
      <c r="C48" s="26"/>
      <c r="F48" s="26"/>
      <c r="G48" s="46"/>
      <c r="H48" s="26"/>
      <c r="I48" s="26"/>
    </row>
    <row r="49" spans="1:9" s="24" customFormat="1" x14ac:dyDescent="0.2">
      <c r="F49" s="26"/>
      <c r="G49" s="46"/>
      <c r="H49" s="26"/>
      <c r="I49" s="26"/>
    </row>
    <row r="50" spans="1:9" s="24" customFormat="1" x14ac:dyDescent="0.2">
      <c r="A50" s="26"/>
      <c r="C50" s="26"/>
      <c r="F50"/>
      <c r="G50" s="46"/>
      <c r="H50" s="26"/>
      <c r="I50" s="26"/>
    </row>
    <row r="51" spans="1:9" s="24" customFormat="1" x14ac:dyDescent="0.2">
      <c r="A51" s="26"/>
      <c r="C51" s="26"/>
      <c r="F51" s="26"/>
      <c r="G51" s="26"/>
      <c r="H51" s="26"/>
      <c r="I51" s="26"/>
    </row>
    <row r="52" spans="1:9" s="24" customFormat="1" x14ac:dyDescent="0.2">
      <c r="A52" s="26"/>
      <c r="C52" s="26"/>
      <c r="F52" s="26"/>
      <c r="G52" s="26"/>
      <c r="I52" s="26"/>
    </row>
    <row r="53" spans="1:9" s="24" customFormat="1" x14ac:dyDescent="0.2">
      <c r="F53" s="26"/>
      <c r="G53" s="26"/>
      <c r="I53" s="26"/>
    </row>
    <row r="54" spans="1:9" s="24" customFormat="1" x14ac:dyDescent="0.2">
      <c r="A54" s="26"/>
      <c r="B54" s="26"/>
      <c r="C54"/>
      <c r="F54" s="26"/>
      <c r="G54" s="26"/>
      <c r="H54" s="26"/>
    </row>
    <row r="55" spans="1:9" s="24" customFormat="1" x14ac:dyDescent="0.2">
      <c r="A55" s="91"/>
      <c r="B55" s="26"/>
      <c r="C55"/>
      <c r="F55" s="26"/>
      <c r="G55" s="26"/>
      <c r="H55" s="26"/>
    </row>
    <row r="56" spans="1:9" s="26" customFormat="1" x14ac:dyDescent="0.2">
      <c r="A56" s="91"/>
      <c r="B56"/>
      <c r="C56"/>
    </row>
    <row r="57" spans="1:9" s="26" customFormat="1" x14ac:dyDescent="0.2">
      <c r="A57" s="91"/>
      <c r="C57"/>
      <c r="H57" s="24"/>
    </row>
    <row r="58" spans="1:9" s="26" customFormat="1" x14ac:dyDescent="0.2">
      <c r="A58" s="91"/>
      <c r="C58"/>
      <c r="G58" s="24"/>
      <c r="H58" s="24"/>
    </row>
    <row r="59" spans="1:9" s="26" customFormat="1" x14ac:dyDescent="0.2">
      <c r="A59"/>
      <c r="B59"/>
      <c r="C59"/>
      <c r="H59" s="24"/>
    </row>
    <row r="60" spans="1:9" s="24" customFormat="1" x14ac:dyDescent="0.2">
      <c r="A60"/>
      <c r="B60"/>
      <c r="C60"/>
      <c r="F60" s="26"/>
      <c r="G60" s="26"/>
      <c r="H60" s="26"/>
      <c r="I60" s="26"/>
    </row>
    <row r="61" spans="1:9" s="26" customFormat="1" x14ac:dyDescent="0.2">
      <c r="A61" s="91"/>
      <c r="B61"/>
      <c r="C61"/>
    </row>
    <row r="62" spans="1:9" s="26" customFormat="1" x14ac:dyDescent="0.2">
      <c r="A62" s="91"/>
      <c r="B62"/>
      <c r="C62"/>
      <c r="H62"/>
    </row>
    <row r="63" spans="1:9" s="26" customFormat="1" x14ac:dyDescent="0.2">
      <c r="A63" s="91"/>
      <c r="B63"/>
      <c r="C63"/>
      <c r="H63"/>
    </row>
    <row r="64" spans="1:9" s="24" customFormat="1" x14ac:dyDescent="0.2">
      <c r="A64" s="91"/>
      <c r="B64"/>
      <c r="C64"/>
      <c r="F64" s="26"/>
      <c r="G64" s="26"/>
      <c r="H64" s="26"/>
      <c r="I64" s="26"/>
    </row>
    <row r="65" spans="1:9" s="24" customFormat="1" x14ac:dyDescent="0.2">
      <c r="A65" s="91"/>
      <c r="B65"/>
      <c r="C65"/>
      <c r="D65" s="26"/>
      <c r="F65"/>
      <c r="G65" s="26"/>
      <c r="H65" s="26"/>
      <c r="I65" s="26"/>
    </row>
    <row r="66" spans="1:9" s="24" customFormat="1" x14ac:dyDescent="0.2">
      <c r="A66" s="91"/>
      <c r="B66"/>
      <c r="C66"/>
      <c r="D66" s="26"/>
      <c r="F66"/>
      <c r="G66" s="26"/>
      <c r="H66"/>
      <c r="I66" s="26"/>
    </row>
    <row r="67" spans="1:9" s="26" customFormat="1" x14ac:dyDescent="0.2">
      <c r="A67" s="91"/>
      <c r="B67"/>
      <c r="C67"/>
      <c r="G67"/>
      <c r="H67"/>
    </row>
    <row r="68" spans="1:9" s="26" customFormat="1" x14ac:dyDescent="0.2">
      <c r="A68" s="91"/>
      <c r="B68"/>
      <c r="C68"/>
      <c r="G68"/>
      <c r="H68"/>
      <c r="I68"/>
    </row>
    <row r="69" spans="1:9" x14ac:dyDescent="0.2">
      <c r="A69" s="91"/>
    </row>
    <row r="70" spans="1:9" x14ac:dyDescent="0.2">
      <c r="A70" s="91"/>
    </row>
    <row r="71" spans="1:9" s="26" customFormat="1" x14ac:dyDescent="0.2">
      <c r="A71" s="91"/>
      <c r="B71"/>
      <c r="C71"/>
      <c r="F71"/>
      <c r="G71"/>
      <c r="H71"/>
      <c r="I71"/>
    </row>
    <row r="72" spans="1:9" s="26" customFormat="1" x14ac:dyDescent="0.2">
      <c r="A72" s="91"/>
      <c r="B72"/>
      <c r="C72"/>
      <c r="F72"/>
      <c r="G72"/>
      <c r="H72"/>
      <c r="I72"/>
    </row>
    <row r="73" spans="1:9" x14ac:dyDescent="0.2">
      <c r="A73" s="91"/>
    </row>
    <row r="74" spans="1:9" x14ac:dyDescent="0.2">
      <c r="A74" s="91"/>
    </row>
    <row r="75" spans="1:9" x14ac:dyDescent="0.2">
      <c r="A75" s="91"/>
    </row>
    <row r="76" spans="1:9" x14ac:dyDescent="0.2">
      <c r="A76" s="91"/>
    </row>
    <row r="77" spans="1:9" x14ac:dyDescent="0.2">
      <c r="A77" s="91"/>
    </row>
  </sheetData>
  <pageMargins left="0.7" right="0.7" top="0.75" bottom="0.75" header="0.3" footer="0.3"/>
  <pageSetup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E3C5-260E-4AEB-AFA4-7F40A7FCBDA5}">
  <dimension ref="A1:K74"/>
  <sheetViews>
    <sheetView workbookViewId="0">
      <selection activeCell="C23" sqref="C23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685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3439.14</v>
      </c>
      <c r="C3" s="51">
        <v>3439.14</v>
      </c>
      <c r="F3" s="33">
        <f>B3+B4</f>
        <v>4880.67</v>
      </c>
      <c r="G3" s="27">
        <f>C9+C10+C11+C12+C13+C14+C15+C16+C17</f>
        <v>3101.1099999999992</v>
      </c>
      <c r="H3" s="27">
        <f>F3-G3</f>
        <v>1779.5600000000009</v>
      </c>
    </row>
    <row r="4" spans="1:11" x14ac:dyDescent="0.2">
      <c r="A4" s="26" t="s">
        <v>265</v>
      </c>
      <c r="B4" s="51">
        <v>1441.53</v>
      </c>
      <c r="C4" s="51">
        <v>1441.53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4880.67</v>
      </c>
      <c r="G6" s="27">
        <f>C20+C21+C22+C23+C24+C25+C26</f>
        <v>1381.24</v>
      </c>
      <c r="H6" s="27">
        <f>F6-G6</f>
        <v>3499.4300000000003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2256.87</v>
      </c>
      <c r="D9" s="26"/>
      <c r="F9" s="26"/>
      <c r="H9" s="26"/>
      <c r="I9" s="26"/>
      <c r="J9" s="45"/>
    </row>
    <row r="10" spans="1:11" s="24" customFormat="1" x14ac:dyDescent="0.2">
      <c r="A10" s="20" t="s">
        <v>675</v>
      </c>
      <c r="B10" s="20" t="s">
        <v>389</v>
      </c>
      <c r="C10" s="22">
        <v>69.59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660</v>
      </c>
      <c r="B11" s="20" t="s">
        <v>394</v>
      </c>
      <c r="C11" s="21">
        <v>98.74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653</v>
      </c>
      <c r="B12" s="20" t="s">
        <v>657</v>
      </c>
      <c r="C12" s="21">
        <v>40</v>
      </c>
      <c r="D12" s="26"/>
      <c r="F12" s="25">
        <f>(H3+H6)/2</f>
        <v>2639.4950000000008</v>
      </c>
      <c r="G12" s="26"/>
      <c r="H12" s="26"/>
      <c r="I12" s="26"/>
      <c r="K12" s="45"/>
    </row>
    <row r="13" spans="1:11" s="24" customFormat="1" x14ac:dyDescent="0.2">
      <c r="A13" s="20" t="s">
        <v>633</v>
      </c>
      <c r="B13" s="20" t="s">
        <v>518</v>
      </c>
      <c r="C13" s="21">
        <v>542.02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626</v>
      </c>
      <c r="B14" s="20" t="s">
        <v>398</v>
      </c>
      <c r="C14" s="21">
        <v>72.680000000000007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650</v>
      </c>
      <c r="B15" s="20" t="s">
        <v>401</v>
      </c>
      <c r="C15" s="21">
        <v>14.22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/>
      <c r="B16" s="20"/>
      <c r="C16" s="21"/>
      <c r="D16" s="26"/>
      <c r="F16" s="26"/>
      <c r="I16" s="26"/>
      <c r="J16" s="66"/>
      <c r="K16" s="45"/>
    </row>
    <row r="17" spans="1:11" s="24" customFormat="1" x14ac:dyDescent="0.2">
      <c r="A17" s="20" t="s">
        <v>651</v>
      </c>
      <c r="B17" s="20" t="s">
        <v>523</v>
      </c>
      <c r="C17" s="21">
        <v>6.99</v>
      </c>
      <c r="D17" s="90"/>
      <c r="F17" s="26"/>
      <c r="I17" s="26"/>
      <c r="J17" s="26"/>
      <c r="K17" s="26"/>
    </row>
    <row r="18" spans="1:11" s="24" customFormat="1" x14ac:dyDescent="0.2">
      <c r="A18" s="29"/>
      <c r="B18" s="29"/>
      <c r="C18" s="30"/>
      <c r="D18" s="26"/>
      <c r="F18" s="26"/>
      <c r="I18" s="26"/>
      <c r="J18" s="26"/>
      <c r="K18" s="26"/>
    </row>
    <row r="19" spans="1:11" s="24" customFormat="1" x14ac:dyDescent="0.2">
      <c r="A19" s="32" t="s">
        <v>13</v>
      </c>
      <c r="B19" s="25"/>
      <c r="C19" s="27"/>
      <c r="D19" s="26"/>
      <c r="F19" s="26"/>
      <c r="I19" s="26"/>
      <c r="J19" s="26"/>
      <c r="K19" s="26"/>
    </row>
    <row r="20" spans="1:11" s="24" customFormat="1" x14ac:dyDescent="0.2">
      <c r="A20" s="20" t="s">
        <v>598</v>
      </c>
      <c r="B20" s="20" t="s">
        <v>448</v>
      </c>
      <c r="C20" s="21">
        <v>483.15</v>
      </c>
      <c r="D20" s="26"/>
      <c r="F20" s="26"/>
      <c r="J20" s="41"/>
    </row>
    <row r="21" spans="1:11" s="24" customFormat="1" x14ac:dyDescent="0.2">
      <c r="A21" s="20" t="s">
        <v>267</v>
      </c>
      <c r="B21" s="20" t="s">
        <v>404</v>
      </c>
      <c r="C21" s="55">
        <v>73.69</v>
      </c>
      <c r="D21" s="26"/>
      <c r="F21" s="26"/>
    </row>
    <row r="22" spans="1:11" s="24" customFormat="1" x14ac:dyDescent="0.2">
      <c r="A22" s="20" t="s">
        <v>79</v>
      </c>
      <c r="B22" s="20" t="s">
        <v>390</v>
      </c>
      <c r="C22" s="21">
        <v>210.75</v>
      </c>
      <c r="F22" s="26"/>
      <c r="G22" s="111"/>
    </row>
    <row r="23" spans="1:11" s="24" customFormat="1" x14ac:dyDescent="0.2">
      <c r="A23" s="20" t="s">
        <v>666</v>
      </c>
      <c r="B23" s="20" t="s">
        <v>664</v>
      </c>
      <c r="C23" s="21">
        <v>120.67</v>
      </c>
      <c r="F23" s="26"/>
      <c r="G23" s="111"/>
    </row>
    <row r="24" spans="1:11" s="24" customFormat="1" x14ac:dyDescent="0.2">
      <c r="A24" s="20" t="s">
        <v>661</v>
      </c>
      <c r="B24" s="20" t="s">
        <v>440</v>
      </c>
      <c r="C24" s="21">
        <v>342.81</v>
      </c>
      <c r="D24" s="26"/>
      <c r="F24" s="26"/>
      <c r="G24" s="111"/>
    </row>
    <row r="25" spans="1:11" s="24" customFormat="1" x14ac:dyDescent="0.2">
      <c r="A25" s="20" t="s">
        <v>302</v>
      </c>
      <c r="B25" s="20" t="s">
        <v>388</v>
      </c>
      <c r="C25" s="21">
        <v>131</v>
      </c>
      <c r="D25" s="26"/>
      <c r="F25" s="26"/>
      <c r="I25" s="102"/>
    </row>
    <row r="26" spans="1:11" s="24" customFormat="1" x14ac:dyDescent="0.2">
      <c r="A26" s="20" t="s">
        <v>601</v>
      </c>
      <c r="B26" s="20" t="s">
        <v>395</v>
      </c>
      <c r="C26" s="21">
        <v>19.170000000000002</v>
      </c>
      <c r="D26" s="26"/>
      <c r="F26" s="26"/>
      <c r="I26" s="102"/>
    </row>
    <row r="27" spans="1:11" s="24" customFormat="1" x14ac:dyDescent="0.2">
      <c r="A27" s="29"/>
      <c r="B27" s="29"/>
      <c r="C27" s="29"/>
      <c r="D27" s="26"/>
      <c r="F27" s="26"/>
      <c r="I27" s="102"/>
    </row>
    <row r="28" spans="1:11" s="24" customFormat="1" x14ac:dyDescent="0.2">
      <c r="A28" s="26"/>
      <c r="B28" s="26"/>
      <c r="C28" s="26"/>
      <c r="D28" s="26"/>
      <c r="F28" s="26"/>
      <c r="I28" s="102"/>
    </row>
    <row r="29" spans="1:11" s="24" customFormat="1" x14ac:dyDescent="0.2">
      <c r="A29" s="26"/>
      <c r="B29" s="26"/>
      <c r="C29" s="26"/>
      <c r="F29" s="26"/>
      <c r="I29" s="102"/>
    </row>
    <row r="30" spans="1:11" s="24" customFormat="1" x14ac:dyDescent="0.2">
      <c r="A30" s="26"/>
      <c r="B30" s="26" t="s">
        <v>636</v>
      </c>
      <c r="C30" s="26" t="s">
        <v>637</v>
      </c>
      <c r="D30" s="26"/>
      <c r="F30" s="26"/>
      <c r="I30" s="52"/>
    </row>
    <row r="31" spans="1:11" s="24" customFormat="1" x14ac:dyDescent="0.2">
      <c r="A31" s="20" t="s">
        <v>600</v>
      </c>
      <c r="B31" s="109">
        <v>4025</v>
      </c>
      <c r="C31" s="21">
        <v>69</v>
      </c>
      <c r="D31" s="26"/>
      <c r="I31" s="52"/>
    </row>
    <row r="32" spans="1:11" s="24" customFormat="1" x14ac:dyDescent="0.2">
      <c r="D32" s="26"/>
      <c r="H32" s="26"/>
      <c r="I32" s="52"/>
    </row>
    <row r="33" spans="1:9" s="24" customFormat="1" x14ac:dyDescent="0.2">
      <c r="D33" s="26"/>
      <c r="G33" s="110"/>
      <c r="H33" s="26"/>
      <c r="I33" s="52"/>
    </row>
    <row r="34" spans="1:9" s="24" customFormat="1" x14ac:dyDescent="0.2">
      <c r="D34" s="26"/>
      <c r="H34" s="26"/>
      <c r="I34" s="52"/>
    </row>
    <row r="35" spans="1:9" s="24" customFormat="1" x14ac:dyDescent="0.2">
      <c r="D35" s="26"/>
      <c r="E35" s="101"/>
      <c r="H35" s="26"/>
      <c r="I35" s="52"/>
    </row>
    <row r="36" spans="1:9" s="24" customFormat="1" x14ac:dyDescent="0.2">
      <c r="D36" s="26"/>
      <c r="E36" s="101"/>
      <c r="H36" s="26"/>
      <c r="I36" s="26"/>
    </row>
    <row r="37" spans="1:9" s="24" customFormat="1" x14ac:dyDescent="0.2">
      <c r="D37" s="26"/>
      <c r="E37" s="101"/>
      <c r="H37" s="26"/>
      <c r="I37" s="26"/>
    </row>
    <row r="38" spans="1:9" s="24" customFormat="1" x14ac:dyDescent="0.2">
      <c r="D38" s="26"/>
      <c r="E38" s="104"/>
      <c r="H38" s="26"/>
      <c r="I38" s="26"/>
    </row>
    <row r="39" spans="1:9" s="24" customFormat="1" x14ac:dyDescent="0.2">
      <c r="A39" s="26"/>
      <c r="D39" s="26"/>
      <c r="E39" s="101"/>
      <c r="H39" s="26"/>
      <c r="I39" s="26"/>
    </row>
    <row r="40" spans="1:9" s="24" customFormat="1" x14ac:dyDescent="0.2">
      <c r="A40" s="26"/>
      <c r="D40" s="26"/>
      <c r="E40" s="101"/>
      <c r="H40" s="26"/>
      <c r="I40" s="26"/>
    </row>
    <row r="41" spans="1:9" s="24" customFormat="1" x14ac:dyDescent="0.2">
      <c r="A41" s="26"/>
      <c r="H41" s="26"/>
      <c r="I41" s="26"/>
    </row>
    <row r="42" spans="1:9" s="24" customFormat="1" x14ac:dyDescent="0.2">
      <c r="A42" s="26"/>
      <c r="C42" s="26"/>
      <c r="H42" s="26"/>
      <c r="I42" s="26"/>
    </row>
    <row r="43" spans="1:9" s="24" customFormat="1" x14ac:dyDescent="0.2">
      <c r="A43" s="26"/>
      <c r="C43" s="26"/>
      <c r="H43" s="26"/>
      <c r="I43" s="26"/>
    </row>
    <row r="44" spans="1:9" s="24" customFormat="1" x14ac:dyDescent="0.2">
      <c r="A44" s="26"/>
      <c r="C44" s="26"/>
      <c r="H44" s="26"/>
      <c r="I44" s="26"/>
    </row>
    <row r="45" spans="1:9" s="24" customFormat="1" x14ac:dyDescent="0.2">
      <c r="A45" s="26"/>
      <c r="C45" s="26"/>
      <c r="F45" s="108"/>
      <c r="G45" s="45"/>
      <c r="H45" s="26"/>
      <c r="I45" s="26"/>
    </row>
    <row r="46" spans="1:9" s="24" customFormat="1" x14ac:dyDescent="0.2">
      <c r="F46" s="26"/>
      <c r="G46" s="46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A48" s="26"/>
      <c r="C48" s="26"/>
      <c r="F48" s="26"/>
      <c r="G48" s="46"/>
      <c r="H48" s="26"/>
      <c r="I48" s="26"/>
    </row>
    <row r="49" spans="1:9" s="24" customFormat="1" x14ac:dyDescent="0.2">
      <c r="A49" s="26"/>
      <c r="C49" s="26"/>
      <c r="F49"/>
      <c r="G49" s="46"/>
      <c r="H49" s="26"/>
      <c r="I49" s="26"/>
    </row>
    <row r="50" spans="1:9" s="24" customFormat="1" x14ac:dyDescent="0.2">
      <c r="F50" s="26"/>
      <c r="G50" s="26"/>
      <c r="H50" s="26"/>
      <c r="I50" s="26"/>
    </row>
    <row r="51" spans="1:9" s="24" customFormat="1" x14ac:dyDescent="0.2">
      <c r="A51" s="26"/>
      <c r="B51" s="26"/>
      <c r="C51"/>
      <c r="F51" s="26"/>
      <c r="G51" s="26"/>
      <c r="I51" s="26"/>
    </row>
    <row r="52" spans="1:9" s="24" customFormat="1" x14ac:dyDescent="0.2">
      <c r="A52" s="91"/>
      <c r="B52" s="26"/>
      <c r="C52"/>
      <c r="F52" s="26"/>
      <c r="G52" s="26"/>
      <c r="I52" s="26"/>
    </row>
    <row r="53" spans="1:9" s="24" customFormat="1" x14ac:dyDescent="0.2">
      <c r="A53" s="91"/>
      <c r="B53"/>
      <c r="C53"/>
      <c r="F53" s="26"/>
      <c r="G53" s="26"/>
      <c r="H53" s="26"/>
    </row>
    <row r="54" spans="1:9" s="24" customFormat="1" x14ac:dyDescent="0.2">
      <c r="A54" s="91"/>
      <c r="B54" s="26"/>
      <c r="C54"/>
      <c r="F54" s="26"/>
      <c r="G54" s="26"/>
      <c r="H54" s="26"/>
    </row>
    <row r="55" spans="1:9" s="26" customFormat="1" x14ac:dyDescent="0.2">
      <c r="A55" s="91"/>
      <c r="C55"/>
    </row>
    <row r="56" spans="1:9" s="26" customFormat="1" x14ac:dyDescent="0.2">
      <c r="A56"/>
      <c r="B56"/>
      <c r="C56"/>
      <c r="H56" s="24"/>
    </row>
    <row r="57" spans="1:9" s="26" customFormat="1" x14ac:dyDescent="0.2">
      <c r="A57"/>
      <c r="B57"/>
      <c r="C57"/>
      <c r="G57" s="24"/>
      <c r="H57" s="24"/>
    </row>
    <row r="58" spans="1:9" s="26" customFormat="1" x14ac:dyDescent="0.2">
      <c r="A58" s="91"/>
      <c r="B58"/>
      <c r="C58"/>
      <c r="H58" s="24"/>
    </row>
    <row r="59" spans="1:9" s="24" customFormat="1" x14ac:dyDescent="0.2">
      <c r="A59" s="91"/>
      <c r="B59"/>
      <c r="C59"/>
      <c r="F59" s="26"/>
      <c r="G59" s="26"/>
      <c r="H59" s="26"/>
      <c r="I59" s="26"/>
    </row>
    <row r="60" spans="1:9" s="26" customFormat="1" x14ac:dyDescent="0.2">
      <c r="A60" s="91"/>
      <c r="B60"/>
      <c r="C60"/>
    </row>
    <row r="61" spans="1:9" s="26" customFormat="1" x14ac:dyDescent="0.2">
      <c r="A61" s="91"/>
      <c r="B61"/>
      <c r="C61"/>
      <c r="H61"/>
    </row>
    <row r="62" spans="1:9" s="26" customFormat="1" x14ac:dyDescent="0.2">
      <c r="A62" s="91"/>
      <c r="B62"/>
      <c r="C62"/>
      <c r="H62"/>
    </row>
    <row r="63" spans="1:9" s="24" customFormat="1" x14ac:dyDescent="0.2">
      <c r="A63" s="91"/>
      <c r="B63"/>
      <c r="C63"/>
      <c r="F63" s="26"/>
      <c r="G63" s="26"/>
      <c r="H63" s="26"/>
      <c r="I63" s="26"/>
    </row>
    <row r="64" spans="1:9" s="24" customFormat="1" x14ac:dyDescent="0.2">
      <c r="A64" s="91"/>
      <c r="B64"/>
      <c r="C64"/>
      <c r="D64" s="26"/>
      <c r="F64"/>
      <c r="G64" s="26"/>
      <c r="H64" s="26"/>
      <c r="I64" s="26"/>
    </row>
    <row r="65" spans="1:9" s="24" customFormat="1" x14ac:dyDescent="0.2">
      <c r="A65" s="91"/>
      <c r="B65"/>
      <c r="C65"/>
      <c r="D65" s="26"/>
      <c r="F65"/>
      <c r="G65" s="26"/>
      <c r="H65"/>
      <c r="I65" s="26"/>
    </row>
    <row r="66" spans="1:9" s="26" customFormat="1" x14ac:dyDescent="0.2">
      <c r="A66" s="91"/>
      <c r="B66"/>
      <c r="C66"/>
      <c r="G66"/>
      <c r="H66"/>
    </row>
    <row r="67" spans="1:9" s="26" customFormat="1" x14ac:dyDescent="0.2">
      <c r="A67" s="91"/>
      <c r="B67"/>
      <c r="C67"/>
      <c r="G67"/>
      <c r="H67"/>
      <c r="I67"/>
    </row>
    <row r="68" spans="1:9" x14ac:dyDescent="0.2">
      <c r="A68" s="91"/>
    </row>
    <row r="69" spans="1:9" x14ac:dyDescent="0.2">
      <c r="A69" s="91"/>
    </row>
    <row r="70" spans="1:9" s="26" customFormat="1" x14ac:dyDescent="0.2">
      <c r="A70" s="91"/>
      <c r="B70"/>
      <c r="C70"/>
      <c r="F70"/>
      <c r="G70"/>
      <c r="H70"/>
      <c r="I70"/>
    </row>
    <row r="71" spans="1:9" s="26" customFormat="1" x14ac:dyDescent="0.2">
      <c r="A71" s="91"/>
      <c r="B71"/>
      <c r="C71"/>
      <c r="F71"/>
      <c r="G71"/>
      <c r="H71"/>
      <c r="I71"/>
    </row>
    <row r="72" spans="1:9" x14ac:dyDescent="0.2">
      <c r="A72" s="91"/>
    </row>
    <row r="73" spans="1:9" x14ac:dyDescent="0.2">
      <c r="A73" s="91"/>
    </row>
    <row r="74" spans="1:9" x14ac:dyDescent="0.2">
      <c r="A74" s="91"/>
    </row>
  </sheetData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9A5A-5C0D-4A2D-BFE5-4B4C2A422D6F}">
  <dimension ref="A1:K74"/>
  <sheetViews>
    <sheetView topLeftCell="A3" workbookViewId="0">
      <selection activeCell="A24" sqref="A24:C24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684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3439.14</v>
      </c>
      <c r="C3" s="51">
        <v>3439.14</v>
      </c>
      <c r="F3" s="33">
        <f>B3+B4</f>
        <v>4880.67</v>
      </c>
      <c r="G3" s="27">
        <f>C9+C10+C11+C12+C13+C14+C15+C16+C17</f>
        <v>3617.0599999999995</v>
      </c>
      <c r="H3" s="27">
        <f>F3-G3</f>
        <v>1263.6100000000006</v>
      </c>
    </row>
    <row r="4" spans="1:11" x14ac:dyDescent="0.2">
      <c r="A4" s="26" t="s">
        <v>265</v>
      </c>
      <c r="B4" s="51">
        <v>1441.53</v>
      </c>
      <c r="C4" s="51">
        <v>1441.53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4880.67</v>
      </c>
      <c r="G6" s="27">
        <f>C20+C21+C22+C23+C24+C25+C26</f>
        <v>1367.1599999999999</v>
      </c>
      <c r="H6" s="27">
        <f>F6-G6</f>
        <v>3513.51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2256.87</v>
      </c>
      <c r="D9" s="26"/>
      <c r="F9" s="26"/>
      <c r="H9" s="26"/>
      <c r="I9" s="26"/>
      <c r="J9" s="45"/>
    </row>
    <row r="10" spans="1:11" s="24" customFormat="1" x14ac:dyDescent="0.2">
      <c r="A10" s="20" t="s">
        <v>675</v>
      </c>
      <c r="B10" s="20" t="s">
        <v>389</v>
      </c>
      <c r="C10" s="22">
        <v>69.59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660</v>
      </c>
      <c r="B11" s="20" t="s">
        <v>394</v>
      </c>
      <c r="C11" s="21">
        <v>98.74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653</v>
      </c>
      <c r="B12" s="20" t="s">
        <v>657</v>
      </c>
      <c r="C12" s="21">
        <v>40</v>
      </c>
      <c r="D12" s="26"/>
      <c r="F12" s="25">
        <f>(H3+H6)/2</f>
        <v>2388.5600000000004</v>
      </c>
      <c r="G12" s="26"/>
      <c r="H12" s="26"/>
      <c r="I12" s="26"/>
      <c r="K12" s="45"/>
    </row>
    <row r="13" spans="1:11" s="24" customFormat="1" x14ac:dyDescent="0.2">
      <c r="A13" s="20" t="s">
        <v>633</v>
      </c>
      <c r="B13" s="20" t="s">
        <v>518</v>
      </c>
      <c r="C13" s="21">
        <v>542.02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626</v>
      </c>
      <c r="B14" s="20" t="s">
        <v>398</v>
      </c>
      <c r="C14" s="21">
        <v>154.66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650</v>
      </c>
      <c r="B15" s="20" t="s">
        <v>401</v>
      </c>
      <c r="C15" s="21">
        <v>14.18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628</v>
      </c>
      <c r="B16" s="20" t="s">
        <v>635</v>
      </c>
      <c r="C16" s="21">
        <v>434.01</v>
      </c>
      <c r="D16" s="26"/>
      <c r="F16" s="26"/>
      <c r="I16" s="26"/>
      <c r="J16" s="66"/>
      <c r="K16" s="45"/>
    </row>
    <row r="17" spans="1:11" s="24" customFormat="1" x14ac:dyDescent="0.2">
      <c r="A17" s="20" t="s">
        <v>651</v>
      </c>
      <c r="B17" s="20" t="s">
        <v>523</v>
      </c>
      <c r="C17" s="21">
        <v>6.99</v>
      </c>
      <c r="D17" s="90"/>
      <c r="F17" s="26"/>
      <c r="I17" s="26"/>
      <c r="J17" s="26"/>
      <c r="K17" s="26"/>
    </row>
    <row r="18" spans="1:11" s="24" customFormat="1" x14ac:dyDescent="0.2">
      <c r="A18" s="29"/>
      <c r="B18" s="29"/>
      <c r="C18" s="30"/>
      <c r="D18" s="26"/>
      <c r="F18" s="26"/>
      <c r="I18" s="26"/>
      <c r="J18" s="26"/>
      <c r="K18" s="26"/>
    </row>
    <row r="19" spans="1:11" s="24" customFormat="1" x14ac:dyDescent="0.2">
      <c r="A19" s="32" t="s">
        <v>13</v>
      </c>
      <c r="B19" s="25"/>
      <c r="C19" s="27"/>
      <c r="D19" s="26"/>
      <c r="F19" s="26"/>
      <c r="I19" s="26"/>
      <c r="J19" s="26"/>
      <c r="K19" s="26"/>
    </row>
    <row r="20" spans="1:11" s="24" customFormat="1" x14ac:dyDescent="0.2">
      <c r="A20" s="20" t="s">
        <v>598</v>
      </c>
      <c r="B20" s="20" t="s">
        <v>448</v>
      </c>
      <c r="C20" s="21">
        <v>483.15</v>
      </c>
      <c r="D20" s="26"/>
      <c r="F20" s="26"/>
      <c r="J20" s="41"/>
    </row>
    <row r="21" spans="1:11" s="24" customFormat="1" x14ac:dyDescent="0.2">
      <c r="A21" s="20" t="s">
        <v>267</v>
      </c>
      <c r="B21" s="20" t="s">
        <v>404</v>
      </c>
      <c r="C21" s="55">
        <v>52</v>
      </c>
      <c r="D21" s="26"/>
      <c r="F21" s="26"/>
    </row>
    <row r="22" spans="1:11" s="24" customFormat="1" x14ac:dyDescent="0.2">
      <c r="A22" s="20" t="s">
        <v>79</v>
      </c>
      <c r="B22" s="20" t="s">
        <v>390</v>
      </c>
      <c r="C22" s="21">
        <v>210.75</v>
      </c>
      <c r="F22" s="26"/>
      <c r="G22" s="111"/>
    </row>
    <row r="23" spans="1:11" s="24" customFormat="1" x14ac:dyDescent="0.2">
      <c r="A23" s="20" t="s">
        <v>666</v>
      </c>
      <c r="B23" s="20" t="s">
        <v>664</v>
      </c>
      <c r="C23" s="21">
        <v>120.67</v>
      </c>
      <c r="F23" s="26"/>
      <c r="G23" s="111"/>
    </row>
    <row r="24" spans="1:11" s="24" customFormat="1" x14ac:dyDescent="0.2">
      <c r="A24" s="20" t="s">
        <v>661</v>
      </c>
      <c r="B24" s="20" t="s">
        <v>440</v>
      </c>
      <c r="C24" s="21">
        <v>342.81</v>
      </c>
      <c r="D24" s="26"/>
      <c r="F24" s="26"/>
      <c r="G24" s="111"/>
    </row>
    <row r="25" spans="1:11" s="24" customFormat="1" x14ac:dyDescent="0.2">
      <c r="A25" s="20" t="s">
        <v>302</v>
      </c>
      <c r="B25" s="20" t="s">
        <v>388</v>
      </c>
      <c r="C25" s="21">
        <v>138.61000000000001</v>
      </c>
      <c r="D25" s="26"/>
      <c r="F25" s="26"/>
      <c r="I25" s="102"/>
    </row>
    <row r="26" spans="1:11" s="24" customFormat="1" x14ac:dyDescent="0.2">
      <c r="A26" s="20" t="s">
        <v>601</v>
      </c>
      <c r="B26" s="20" t="s">
        <v>395</v>
      </c>
      <c r="C26" s="21">
        <v>19.170000000000002</v>
      </c>
      <c r="D26" s="26"/>
      <c r="F26" s="26"/>
      <c r="I26" s="102"/>
    </row>
    <row r="27" spans="1:11" s="24" customFormat="1" x14ac:dyDescent="0.2">
      <c r="A27" s="29"/>
      <c r="B27" s="29"/>
      <c r="C27" s="29"/>
      <c r="D27" s="26"/>
      <c r="F27" s="26"/>
      <c r="I27" s="102"/>
    </row>
    <row r="28" spans="1:11" s="24" customFormat="1" x14ac:dyDescent="0.2">
      <c r="A28" s="26"/>
      <c r="B28" s="26"/>
      <c r="C28" s="26"/>
      <c r="D28" s="26"/>
      <c r="F28" s="26"/>
      <c r="I28" s="102"/>
    </row>
    <row r="29" spans="1:11" s="24" customFormat="1" x14ac:dyDescent="0.2">
      <c r="A29" s="26"/>
      <c r="B29" s="26"/>
      <c r="C29" s="26"/>
      <c r="F29" s="26"/>
      <c r="I29" s="102"/>
    </row>
    <row r="30" spans="1:11" s="24" customFormat="1" x14ac:dyDescent="0.2">
      <c r="A30" s="26"/>
      <c r="B30" s="26" t="s">
        <v>636</v>
      </c>
      <c r="C30" s="26" t="s">
        <v>637</v>
      </c>
      <c r="D30" s="26"/>
      <c r="F30" s="26"/>
      <c r="I30" s="52"/>
    </row>
    <row r="31" spans="1:11" s="24" customFormat="1" x14ac:dyDescent="0.2">
      <c r="A31" s="20" t="s">
        <v>600</v>
      </c>
      <c r="B31" s="109">
        <v>4025</v>
      </c>
      <c r="C31" s="21">
        <v>69</v>
      </c>
      <c r="D31" s="26"/>
      <c r="I31" s="52"/>
    </row>
    <row r="32" spans="1:11" s="24" customFormat="1" x14ac:dyDescent="0.2">
      <c r="D32" s="26"/>
      <c r="H32" s="26"/>
      <c r="I32" s="52"/>
    </row>
    <row r="33" spans="1:9" s="24" customFormat="1" x14ac:dyDescent="0.2">
      <c r="D33" s="26"/>
      <c r="G33" s="110"/>
      <c r="H33" s="26"/>
      <c r="I33" s="52"/>
    </row>
    <row r="34" spans="1:9" s="24" customFormat="1" x14ac:dyDescent="0.2">
      <c r="D34" s="26"/>
      <c r="H34" s="26"/>
      <c r="I34" s="52"/>
    </row>
    <row r="35" spans="1:9" s="24" customFormat="1" x14ac:dyDescent="0.2">
      <c r="D35" s="26"/>
      <c r="E35" s="101"/>
      <c r="H35" s="26"/>
      <c r="I35" s="52"/>
    </row>
    <row r="36" spans="1:9" s="24" customFormat="1" x14ac:dyDescent="0.2">
      <c r="D36" s="26"/>
      <c r="E36" s="101"/>
      <c r="H36" s="26"/>
      <c r="I36" s="26"/>
    </row>
    <row r="37" spans="1:9" s="24" customFormat="1" x14ac:dyDescent="0.2">
      <c r="D37" s="26"/>
      <c r="E37" s="101"/>
      <c r="H37" s="26"/>
      <c r="I37" s="26"/>
    </row>
    <row r="38" spans="1:9" s="24" customFormat="1" x14ac:dyDescent="0.2">
      <c r="D38" s="26"/>
      <c r="E38" s="104"/>
      <c r="H38" s="26"/>
      <c r="I38" s="26"/>
    </row>
    <row r="39" spans="1:9" s="24" customFormat="1" x14ac:dyDescent="0.2">
      <c r="A39" s="26"/>
      <c r="D39" s="26"/>
      <c r="E39" s="101"/>
      <c r="H39" s="26"/>
      <c r="I39" s="26"/>
    </row>
    <row r="40" spans="1:9" s="24" customFormat="1" x14ac:dyDescent="0.2">
      <c r="A40" s="26"/>
      <c r="D40" s="26"/>
      <c r="E40" s="101"/>
      <c r="H40" s="26"/>
      <c r="I40" s="26"/>
    </row>
    <row r="41" spans="1:9" s="24" customFormat="1" x14ac:dyDescent="0.2">
      <c r="A41" s="26"/>
      <c r="H41" s="26"/>
      <c r="I41" s="26"/>
    </row>
    <row r="42" spans="1:9" s="24" customFormat="1" x14ac:dyDescent="0.2">
      <c r="A42" s="26"/>
      <c r="C42" s="26"/>
      <c r="H42" s="26"/>
      <c r="I42" s="26"/>
    </row>
    <row r="43" spans="1:9" s="24" customFormat="1" x14ac:dyDescent="0.2">
      <c r="A43" s="26"/>
      <c r="C43" s="26"/>
      <c r="H43" s="26"/>
      <c r="I43" s="26"/>
    </row>
    <row r="44" spans="1:9" s="24" customFormat="1" x14ac:dyDescent="0.2">
      <c r="A44" s="26"/>
      <c r="C44" s="26"/>
      <c r="H44" s="26"/>
      <c r="I44" s="26"/>
    </row>
    <row r="45" spans="1:9" s="24" customFormat="1" x14ac:dyDescent="0.2">
      <c r="A45" s="26"/>
      <c r="C45" s="26"/>
      <c r="F45" s="108"/>
      <c r="G45" s="45"/>
      <c r="H45" s="26"/>
      <c r="I45" s="26"/>
    </row>
    <row r="46" spans="1:9" s="24" customFormat="1" x14ac:dyDescent="0.2">
      <c r="F46" s="26"/>
      <c r="G46" s="46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A48" s="26"/>
      <c r="C48" s="26"/>
      <c r="F48" s="26"/>
      <c r="G48" s="46"/>
      <c r="H48" s="26"/>
      <c r="I48" s="26"/>
    </row>
    <row r="49" spans="1:9" s="24" customFormat="1" x14ac:dyDescent="0.2">
      <c r="A49" s="26"/>
      <c r="C49" s="26"/>
      <c r="F49"/>
      <c r="G49" s="46"/>
      <c r="H49" s="26"/>
      <c r="I49" s="26"/>
    </row>
    <row r="50" spans="1:9" s="24" customFormat="1" x14ac:dyDescent="0.2">
      <c r="F50" s="26"/>
      <c r="G50" s="26"/>
      <c r="H50" s="26"/>
      <c r="I50" s="26"/>
    </row>
    <row r="51" spans="1:9" s="24" customFormat="1" x14ac:dyDescent="0.2">
      <c r="A51" s="26"/>
      <c r="B51" s="26"/>
      <c r="C51"/>
      <c r="F51" s="26"/>
      <c r="G51" s="26"/>
      <c r="I51" s="26"/>
    </row>
    <row r="52" spans="1:9" s="24" customFormat="1" x14ac:dyDescent="0.2">
      <c r="A52" s="91"/>
      <c r="B52" s="26"/>
      <c r="C52"/>
      <c r="F52" s="26"/>
      <c r="G52" s="26"/>
      <c r="I52" s="26"/>
    </row>
    <row r="53" spans="1:9" s="24" customFormat="1" x14ac:dyDescent="0.2">
      <c r="A53" s="91"/>
      <c r="B53"/>
      <c r="C53"/>
      <c r="F53" s="26"/>
      <c r="G53" s="26"/>
      <c r="H53" s="26"/>
    </row>
    <row r="54" spans="1:9" s="24" customFormat="1" x14ac:dyDescent="0.2">
      <c r="A54" s="91"/>
      <c r="B54" s="26"/>
      <c r="C54"/>
      <c r="F54" s="26"/>
      <c r="G54" s="26"/>
      <c r="H54" s="26"/>
    </row>
    <row r="55" spans="1:9" s="26" customFormat="1" x14ac:dyDescent="0.2">
      <c r="A55" s="91"/>
      <c r="C55"/>
    </row>
    <row r="56" spans="1:9" s="26" customFormat="1" x14ac:dyDescent="0.2">
      <c r="A56"/>
      <c r="B56"/>
      <c r="C56"/>
      <c r="H56" s="24"/>
    </row>
    <row r="57" spans="1:9" s="26" customFormat="1" x14ac:dyDescent="0.2">
      <c r="A57"/>
      <c r="B57"/>
      <c r="C57"/>
      <c r="G57" s="24"/>
      <c r="H57" s="24"/>
    </row>
    <row r="58" spans="1:9" s="26" customFormat="1" x14ac:dyDescent="0.2">
      <c r="A58" s="91"/>
      <c r="B58"/>
      <c r="C58"/>
      <c r="H58" s="24"/>
    </row>
    <row r="59" spans="1:9" s="24" customFormat="1" x14ac:dyDescent="0.2">
      <c r="A59" s="91"/>
      <c r="B59"/>
      <c r="C59"/>
      <c r="F59" s="26"/>
      <c r="G59" s="26"/>
      <c r="H59" s="26"/>
      <c r="I59" s="26"/>
    </row>
    <row r="60" spans="1:9" s="26" customFormat="1" x14ac:dyDescent="0.2">
      <c r="A60" s="91"/>
      <c r="B60"/>
      <c r="C60"/>
    </row>
    <row r="61" spans="1:9" s="26" customFormat="1" x14ac:dyDescent="0.2">
      <c r="A61" s="91"/>
      <c r="B61"/>
      <c r="C61"/>
      <c r="H61"/>
    </row>
    <row r="62" spans="1:9" s="26" customFormat="1" x14ac:dyDescent="0.2">
      <c r="A62" s="91"/>
      <c r="B62"/>
      <c r="C62"/>
      <c r="H62"/>
    </row>
    <row r="63" spans="1:9" s="24" customFormat="1" x14ac:dyDescent="0.2">
      <c r="A63" s="91"/>
      <c r="B63"/>
      <c r="C63"/>
      <c r="F63" s="26"/>
      <c r="G63" s="26"/>
      <c r="H63" s="26"/>
      <c r="I63" s="26"/>
    </row>
    <row r="64" spans="1:9" s="24" customFormat="1" x14ac:dyDescent="0.2">
      <c r="A64" s="91"/>
      <c r="B64"/>
      <c r="C64"/>
      <c r="D64" s="26"/>
      <c r="F64"/>
      <c r="G64" s="26"/>
      <c r="H64" s="26"/>
      <c r="I64" s="26"/>
    </row>
    <row r="65" spans="1:9" s="24" customFormat="1" x14ac:dyDescent="0.2">
      <c r="A65" s="91"/>
      <c r="B65"/>
      <c r="C65"/>
      <c r="D65" s="26"/>
      <c r="F65"/>
      <c r="G65" s="26"/>
      <c r="H65"/>
      <c r="I65" s="26"/>
    </row>
    <row r="66" spans="1:9" s="26" customFormat="1" x14ac:dyDescent="0.2">
      <c r="A66" s="91"/>
      <c r="B66"/>
      <c r="C66"/>
      <c r="G66"/>
      <c r="H66"/>
    </row>
    <row r="67" spans="1:9" s="26" customFormat="1" x14ac:dyDescent="0.2">
      <c r="A67" s="91"/>
      <c r="B67"/>
      <c r="C67"/>
      <c r="G67"/>
      <c r="H67"/>
      <c r="I67"/>
    </row>
    <row r="68" spans="1:9" x14ac:dyDescent="0.2">
      <c r="A68" s="91"/>
    </row>
    <row r="69" spans="1:9" x14ac:dyDescent="0.2">
      <c r="A69" s="91"/>
    </row>
    <row r="70" spans="1:9" s="26" customFormat="1" x14ac:dyDescent="0.2">
      <c r="A70" s="91"/>
      <c r="B70"/>
      <c r="C70"/>
      <c r="F70"/>
      <c r="G70"/>
      <c r="H70"/>
      <c r="I70"/>
    </row>
    <row r="71" spans="1:9" s="26" customFormat="1" x14ac:dyDescent="0.2">
      <c r="A71" s="91"/>
      <c r="B71"/>
      <c r="C71"/>
      <c r="F71"/>
      <c r="G71"/>
      <c r="H71"/>
      <c r="I71"/>
    </row>
    <row r="72" spans="1:9" x14ac:dyDescent="0.2">
      <c r="A72" s="91"/>
    </row>
    <row r="73" spans="1:9" x14ac:dyDescent="0.2">
      <c r="A73" s="91"/>
    </row>
    <row r="74" spans="1:9" x14ac:dyDescent="0.2">
      <c r="A74" s="91"/>
    </row>
  </sheetData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F3E1-F4A5-4ACE-9213-AC6F03C12BEA}">
  <dimension ref="A1:K74"/>
  <sheetViews>
    <sheetView workbookViewId="0">
      <selection activeCell="C20" sqref="C20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683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3337.25</v>
      </c>
      <c r="C3" s="51">
        <v>3337.25</v>
      </c>
      <c r="F3" s="33">
        <f>B3+B4</f>
        <v>4778.78</v>
      </c>
      <c r="G3" s="27">
        <f>C9+C10+C11+C12+C13+C14+C15+C16+C17</f>
        <v>3617.0599999999995</v>
      </c>
      <c r="H3" s="27">
        <f>F3-G3</f>
        <v>1161.7200000000003</v>
      </c>
    </row>
    <row r="4" spans="1:11" x14ac:dyDescent="0.2">
      <c r="A4" s="26" t="s">
        <v>265</v>
      </c>
      <c r="B4" s="51">
        <v>1441.53</v>
      </c>
      <c r="C4" s="51">
        <v>1441.53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4778.78</v>
      </c>
      <c r="G6" s="27">
        <f>C20+C21+C22+C23+C24+C25+C26</f>
        <v>1484.1499999999999</v>
      </c>
      <c r="H6" s="27">
        <f>F6-G6</f>
        <v>3294.63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2256.87</v>
      </c>
      <c r="D9" s="26"/>
      <c r="F9" s="26"/>
      <c r="H9" s="26"/>
      <c r="I9" s="26"/>
      <c r="J9" s="45"/>
    </row>
    <row r="10" spans="1:11" s="24" customFormat="1" x14ac:dyDescent="0.2">
      <c r="A10" s="20" t="s">
        <v>675</v>
      </c>
      <c r="B10" s="20" t="s">
        <v>389</v>
      </c>
      <c r="C10" s="22">
        <v>69.59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660</v>
      </c>
      <c r="B11" s="20" t="s">
        <v>394</v>
      </c>
      <c r="C11" s="21">
        <v>98.74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653</v>
      </c>
      <c r="B12" s="20" t="s">
        <v>657</v>
      </c>
      <c r="C12" s="21">
        <v>40</v>
      </c>
      <c r="D12" s="26"/>
      <c r="F12" s="25">
        <f>(H3+H6)/2</f>
        <v>2228.1750000000002</v>
      </c>
      <c r="G12" s="26"/>
      <c r="H12" s="26"/>
      <c r="I12" s="26"/>
      <c r="K12" s="45"/>
    </row>
    <row r="13" spans="1:11" s="24" customFormat="1" x14ac:dyDescent="0.2">
      <c r="A13" s="20" t="s">
        <v>633</v>
      </c>
      <c r="B13" s="20" t="s">
        <v>518</v>
      </c>
      <c r="C13" s="21">
        <v>542.02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626</v>
      </c>
      <c r="B14" s="20" t="s">
        <v>398</v>
      </c>
      <c r="C14" s="21">
        <v>154.66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650</v>
      </c>
      <c r="B15" s="20" t="s">
        <v>401</v>
      </c>
      <c r="C15" s="21">
        <v>14.18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628</v>
      </c>
      <c r="B16" s="20" t="s">
        <v>635</v>
      </c>
      <c r="C16" s="21">
        <v>434.01</v>
      </c>
      <c r="D16" s="26"/>
      <c r="F16" s="26"/>
      <c r="I16" s="26"/>
      <c r="J16" s="66"/>
      <c r="K16" s="45"/>
    </row>
    <row r="17" spans="1:11" s="24" customFormat="1" x14ac:dyDescent="0.2">
      <c r="A17" s="20" t="s">
        <v>651</v>
      </c>
      <c r="B17" s="20" t="s">
        <v>523</v>
      </c>
      <c r="C17" s="21">
        <v>6.99</v>
      </c>
      <c r="D17" s="90"/>
      <c r="F17" s="26"/>
      <c r="I17" s="26"/>
      <c r="J17" s="26"/>
      <c r="K17" s="26"/>
    </row>
    <row r="18" spans="1:11" s="24" customFormat="1" x14ac:dyDescent="0.2">
      <c r="A18" s="29"/>
      <c r="B18" s="29"/>
      <c r="C18" s="30"/>
      <c r="D18" s="26"/>
      <c r="F18" s="26"/>
      <c r="I18" s="26"/>
      <c r="J18" s="26"/>
      <c r="K18" s="26"/>
    </row>
    <row r="19" spans="1:11" s="24" customFormat="1" x14ac:dyDescent="0.2">
      <c r="A19" s="32" t="s">
        <v>13</v>
      </c>
      <c r="B19" s="25"/>
      <c r="C19" s="27"/>
      <c r="D19" s="26"/>
      <c r="F19" s="26"/>
      <c r="I19" s="26"/>
      <c r="J19" s="26"/>
      <c r="K19" s="26"/>
    </row>
    <row r="20" spans="1:11" s="24" customFormat="1" x14ac:dyDescent="0.2">
      <c r="A20" s="20" t="s">
        <v>598</v>
      </c>
      <c r="B20" s="20" t="s">
        <v>448</v>
      </c>
      <c r="C20" s="21">
        <v>483.15</v>
      </c>
      <c r="D20" s="26"/>
      <c r="F20" s="26"/>
      <c r="J20" s="41"/>
    </row>
    <row r="21" spans="1:11" s="24" customFormat="1" x14ac:dyDescent="0.2">
      <c r="A21" s="20" t="s">
        <v>267</v>
      </c>
      <c r="B21" s="20" t="s">
        <v>404</v>
      </c>
      <c r="C21" s="55">
        <v>52</v>
      </c>
      <c r="D21" s="26"/>
      <c r="F21" s="26"/>
    </row>
    <row r="22" spans="1:11" s="24" customFormat="1" x14ac:dyDescent="0.2">
      <c r="A22" s="20" t="s">
        <v>79</v>
      </c>
      <c r="B22" s="20" t="s">
        <v>390</v>
      </c>
      <c r="C22" s="21">
        <v>210.75</v>
      </c>
      <c r="F22" s="26"/>
      <c r="G22" s="111"/>
    </row>
    <row r="23" spans="1:11" s="24" customFormat="1" x14ac:dyDescent="0.2">
      <c r="A23" s="20" t="s">
        <v>666</v>
      </c>
      <c r="B23" s="20" t="s">
        <v>664</v>
      </c>
      <c r="C23" s="21">
        <v>120.67</v>
      </c>
      <c r="F23" s="26"/>
      <c r="G23" s="111"/>
    </row>
    <row r="24" spans="1:11" s="24" customFormat="1" x14ac:dyDescent="0.2">
      <c r="A24" s="20" t="s">
        <v>661</v>
      </c>
      <c r="B24" s="20" t="s">
        <v>440</v>
      </c>
      <c r="C24" s="21">
        <v>342.81</v>
      </c>
      <c r="D24" s="26"/>
      <c r="F24" s="26"/>
      <c r="G24" s="111"/>
    </row>
    <row r="25" spans="1:11" s="24" customFormat="1" x14ac:dyDescent="0.2">
      <c r="A25" s="20" t="s">
        <v>302</v>
      </c>
      <c r="B25" s="20" t="s">
        <v>388</v>
      </c>
      <c r="C25" s="21">
        <v>255.6</v>
      </c>
      <c r="D25" s="26"/>
      <c r="F25" s="26"/>
      <c r="I25" s="102"/>
    </row>
    <row r="26" spans="1:11" s="24" customFormat="1" x14ac:dyDescent="0.2">
      <c r="A26" s="20" t="s">
        <v>601</v>
      </c>
      <c r="B26" s="20" t="s">
        <v>395</v>
      </c>
      <c r="C26" s="21">
        <v>19.170000000000002</v>
      </c>
      <c r="D26" s="26"/>
      <c r="F26" s="26"/>
      <c r="I26" s="102"/>
    </row>
    <row r="27" spans="1:11" s="24" customFormat="1" x14ac:dyDescent="0.2">
      <c r="A27" s="29"/>
      <c r="B27" s="29"/>
      <c r="C27" s="29"/>
      <c r="D27" s="26"/>
      <c r="F27" s="26"/>
      <c r="I27" s="102"/>
    </row>
    <row r="28" spans="1:11" s="24" customFormat="1" x14ac:dyDescent="0.2">
      <c r="A28" s="26"/>
      <c r="B28" s="26"/>
      <c r="C28" s="26"/>
      <c r="D28" s="26"/>
      <c r="F28" s="26"/>
      <c r="I28" s="102"/>
    </row>
    <row r="29" spans="1:11" s="24" customFormat="1" x14ac:dyDescent="0.2">
      <c r="A29" s="26"/>
      <c r="B29" s="26"/>
      <c r="C29" s="26"/>
      <c r="F29" s="26"/>
      <c r="I29" s="102"/>
    </row>
    <row r="30" spans="1:11" s="24" customFormat="1" x14ac:dyDescent="0.2">
      <c r="A30" s="26"/>
      <c r="B30" s="26" t="s">
        <v>636</v>
      </c>
      <c r="C30" s="26" t="s">
        <v>637</v>
      </c>
      <c r="D30" s="26"/>
      <c r="F30" s="26"/>
      <c r="I30" s="52"/>
    </row>
    <row r="31" spans="1:11" s="24" customFormat="1" x14ac:dyDescent="0.2">
      <c r="A31" s="20" t="s">
        <v>600</v>
      </c>
      <c r="B31" s="109">
        <v>4025</v>
      </c>
      <c r="C31" s="21">
        <v>69</v>
      </c>
      <c r="D31" s="26"/>
      <c r="I31" s="52"/>
    </row>
    <row r="32" spans="1:11" s="24" customFormat="1" x14ac:dyDescent="0.2">
      <c r="D32" s="26"/>
      <c r="H32" s="26"/>
      <c r="I32" s="52"/>
    </row>
    <row r="33" spans="1:9" s="24" customFormat="1" x14ac:dyDescent="0.2">
      <c r="D33" s="26"/>
      <c r="G33" s="110"/>
      <c r="H33" s="26"/>
      <c r="I33" s="52"/>
    </row>
    <row r="34" spans="1:9" s="24" customFormat="1" x14ac:dyDescent="0.2">
      <c r="D34" s="26"/>
      <c r="H34" s="26"/>
      <c r="I34" s="52"/>
    </row>
    <row r="35" spans="1:9" s="24" customFormat="1" x14ac:dyDescent="0.2">
      <c r="D35" s="26"/>
      <c r="E35" s="101"/>
      <c r="H35" s="26"/>
      <c r="I35" s="52"/>
    </row>
    <row r="36" spans="1:9" s="24" customFormat="1" x14ac:dyDescent="0.2">
      <c r="D36" s="26"/>
      <c r="E36" s="101"/>
      <c r="H36" s="26"/>
      <c r="I36" s="26"/>
    </row>
    <row r="37" spans="1:9" s="24" customFormat="1" x14ac:dyDescent="0.2">
      <c r="D37" s="26"/>
      <c r="E37" s="101"/>
      <c r="H37" s="26"/>
      <c r="I37" s="26"/>
    </row>
    <row r="38" spans="1:9" s="24" customFormat="1" x14ac:dyDescent="0.2">
      <c r="D38" s="26"/>
      <c r="E38" s="104"/>
      <c r="H38" s="26"/>
      <c r="I38" s="26"/>
    </row>
    <row r="39" spans="1:9" s="24" customFormat="1" x14ac:dyDescent="0.2">
      <c r="A39" s="26"/>
      <c r="D39" s="26"/>
      <c r="E39" s="101"/>
      <c r="H39" s="26"/>
      <c r="I39" s="26"/>
    </row>
    <row r="40" spans="1:9" s="24" customFormat="1" x14ac:dyDescent="0.2">
      <c r="A40" s="26"/>
      <c r="D40" s="26"/>
      <c r="E40" s="101"/>
      <c r="H40" s="26"/>
      <c r="I40" s="26"/>
    </row>
    <row r="41" spans="1:9" s="24" customFormat="1" x14ac:dyDescent="0.2">
      <c r="A41" s="26"/>
      <c r="H41" s="26"/>
      <c r="I41" s="26"/>
    </row>
    <row r="42" spans="1:9" s="24" customFormat="1" x14ac:dyDescent="0.2">
      <c r="A42" s="26"/>
      <c r="C42" s="26"/>
      <c r="H42" s="26"/>
      <c r="I42" s="26"/>
    </row>
    <row r="43" spans="1:9" s="24" customFormat="1" x14ac:dyDescent="0.2">
      <c r="A43" s="26"/>
      <c r="C43" s="26"/>
      <c r="H43" s="26"/>
      <c r="I43" s="26"/>
    </row>
    <row r="44" spans="1:9" s="24" customFormat="1" x14ac:dyDescent="0.2">
      <c r="A44" s="26"/>
      <c r="C44" s="26"/>
      <c r="H44" s="26"/>
      <c r="I44" s="26"/>
    </row>
    <row r="45" spans="1:9" s="24" customFormat="1" x14ac:dyDescent="0.2">
      <c r="A45" s="26"/>
      <c r="C45" s="26"/>
      <c r="F45" s="108"/>
      <c r="G45" s="45"/>
      <c r="H45" s="26"/>
      <c r="I45" s="26"/>
    </row>
    <row r="46" spans="1:9" s="24" customFormat="1" x14ac:dyDescent="0.2">
      <c r="F46" s="26"/>
      <c r="G46" s="46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A48" s="26"/>
      <c r="C48" s="26"/>
      <c r="F48" s="26"/>
      <c r="G48" s="46"/>
      <c r="H48" s="26"/>
      <c r="I48" s="26"/>
    </row>
    <row r="49" spans="1:9" s="24" customFormat="1" x14ac:dyDescent="0.2">
      <c r="A49" s="26"/>
      <c r="C49" s="26"/>
      <c r="F49"/>
      <c r="G49" s="46"/>
      <c r="H49" s="26"/>
      <c r="I49" s="26"/>
    </row>
    <row r="50" spans="1:9" s="24" customFormat="1" x14ac:dyDescent="0.2">
      <c r="F50" s="26"/>
      <c r="G50" s="26"/>
      <c r="H50" s="26"/>
      <c r="I50" s="26"/>
    </row>
    <row r="51" spans="1:9" s="24" customFormat="1" x14ac:dyDescent="0.2">
      <c r="A51" s="26"/>
      <c r="B51" s="26"/>
      <c r="C51"/>
      <c r="F51" s="26"/>
      <c r="G51" s="26"/>
      <c r="I51" s="26"/>
    </row>
    <row r="52" spans="1:9" s="24" customFormat="1" x14ac:dyDescent="0.2">
      <c r="A52" s="91"/>
      <c r="B52" s="26"/>
      <c r="C52"/>
      <c r="F52" s="26"/>
      <c r="G52" s="26"/>
      <c r="I52" s="26"/>
    </row>
    <row r="53" spans="1:9" s="24" customFormat="1" x14ac:dyDescent="0.2">
      <c r="A53" s="91"/>
      <c r="B53"/>
      <c r="C53"/>
      <c r="F53" s="26"/>
      <c r="G53" s="26"/>
      <c r="H53" s="26"/>
    </row>
    <row r="54" spans="1:9" s="24" customFormat="1" x14ac:dyDescent="0.2">
      <c r="A54" s="91"/>
      <c r="B54" s="26"/>
      <c r="C54"/>
      <c r="F54" s="26"/>
      <c r="G54" s="26"/>
      <c r="H54" s="26"/>
    </row>
    <row r="55" spans="1:9" s="26" customFormat="1" x14ac:dyDescent="0.2">
      <c r="A55" s="91"/>
      <c r="C55"/>
    </row>
    <row r="56" spans="1:9" s="26" customFormat="1" x14ac:dyDescent="0.2">
      <c r="A56"/>
      <c r="B56"/>
      <c r="C56"/>
      <c r="H56" s="24"/>
    </row>
    <row r="57" spans="1:9" s="26" customFormat="1" x14ac:dyDescent="0.2">
      <c r="A57"/>
      <c r="B57"/>
      <c r="C57"/>
      <c r="G57" s="24"/>
      <c r="H57" s="24"/>
    </row>
    <row r="58" spans="1:9" s="26" customFormat="1" x14ac:dyDescent="0.2">
      <c r="A58" s="91"/>
      <c r="B58"/>
      <c r="C58"/>
      <c r="H58" s="24"/>
    </row>
    <row r="59" spans="1:9" s="24" customFormat="1" x14ac:dyDescent="0.2">
      <c r="A59" s="91"/>
      <c r="B59"/>
      <c r="C59"/>
      <c r="F59" s="26"/>
      <c r="G59" s="26"/>
      <c r="H59" s="26"/>
      <c r="I59" s="26"/>
    </row>
    <row r="60" spans="1:9" s="26" customFormat="1" x14ac:dyDescent="0.2">
      <c r="A60" s="91"/>
      <c r="B60"/>
      <c r="C60"/>
    </row>
    <row r="61" spans="1:9" s="26" customFormat="1" x14ac:dyDescent="0.2">
      <c r="A61" s="91"/>
      <c r="B61"/>
      <c r="C61"/>
      <c r="H61"/>
    </row>
    <row r="62" spans="1:9" s="26" customFormat="1" x14ac:dyDescent="0.2">
      <c r="A62" s="91"/>
      <c r="B62"/>
      <c r="C62"/>
      <c r="H62"/>
    </row>
    <row r="63" spans="1:9" s="24" customFormat="1" x14ac:dyDescent="0.2">
      <c r="A63" s="91"/>
      <c r="B63"/>
      <c r="C63"/>
      <c r="F63" s="26"/>
      <c r="G63" s="26"/>
      <c r="H63" s="26"/>
      <c r="I63" s="26"/>
    </row>
    <row r="64" spans="1:9" s="24" customFormat="1" x14ac:dyDescent="0.2">
      <c r="A64" s="91"/>
      <c r="B64"/>
      <c r="C64"/>
      <c r="D64" s="26"/>
      <c r="F64"/>
      <c r="G64" s="26"/>
      <c r="H64" s="26"/>
      <c r="I64" s="26"/>
    </row>
    <row r="65" spans="1:9" s="24" customFormat="1" x14ac:dyDescent="0.2">
      <c r="A65" s="91"/>
      <c r="B65"/>
      <c r="C65"/>
      <c r="D65" s="26"/>
      <c r="F65"/>
      <c r="G65" s="26"/>
      <c r="H65"/>
      <c r="I65" s="26"/>
    </row>
    <row r="66" spans="1:9" s="26" customFormat="1" x14ac:dyDescent="0.2">
      <c r="A66" s="91"/>
      <c r="B66"/>
      <c r="C66"/>
      <c r="G66"/>
      <c r="H66"/>
    </row>
    <row r="67" spans="1:9" s="26" customFormat="1" x14ac:dyDescent="0.2">
      <c r="A67" s="91"/>
      <c r="B67"/>
      <c r="C67"/>
      <c r="G67"/>
      <c r="H67"/>
      <c r="I67"/>
    </row>
    <row r="68" spans="1:9" x14ac:dyDescent="0.2">
      <c r="A68" s="91"/>
    </row>
    <row r="69" spans="1:9" x14ac:dyDescent="0.2">
      <c r="A69" s="91"/>
    </row>
    <row r="70" spans="1:9" s="26" customFormat="1" x14ac:dyDescent="0.2">
      <c r="A70" s="91"/>
      <c r="B70"/>
      <c r="C70"/>
      <c r="F70"/>
      <c r="G70"/>
      <c r="H70"/>
      <c r="I70"/>
    </row>
    <row r="71" spans="1:9" s="26" customFormat="1" x14ac:dyDescent="0.2">
      <c r="A71" s="91"/>
      <c r="B71"/>
      <c r="C71"/>
      <c r="F71"/>
      <c r="G71"/>
      <c r="H71"/>
      <c r="I71"/>
    </row>
    <row r="72" spans="1:9" x14ac:dyDescent="0.2">
      <c r="A72" s="91"/>
    </row>
    <row r="73" spans="1:9" x14ac:dyDescent="0.2">
      <c r="A73" s="91"/>
    </row>
    <row r="74" spans="1:9" x14ac:dyDescent="0.2">
      <c r="A74" s="91"/>
    </row>
  </sheetData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1D8FE-2054-4FAB-9516-057B33FE79DA}">
  <dimension ref="A1:K74"/>
  <sheetViews>
    <sheetView workbookViewId="0">
      <selection activeCell="A24" sqref="A24:C24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682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3337.25</v>
      </c>
      <c r="C3" s="51">
        <v>3337.25</v>
      </c>
      <c r="F3" s="33">
        <f>B3+B4</f>
        <v>4778.78</v>
      </c>
      <c r="G3" s="27">
        <f>C9+C10+C11+C12+C13+C14+C15+C16+C17</f>
        <v>3617.0599999999995</v>
      </c>
      <c r="H3" s="27">
        <f>F3-G3</f>
        <v>1161.7200000000003</v>
      </c>
    </row>
    <row r="4" spans="1:11" x14ac:dyDescent="0.2">
      <c r="A4" s="26" t="s">
        <v>265</v>
      </c>
      <c r="B4" s="51">
        <v>1441.53</v>
      </c>
      <c r="C4" s="51">
        <v>1441.53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4778.78</v>
      </c>
      <c r="G6" s="27">
        <f>C20+C21+C22+C23+C24+C25+C26</f>
        <v>1501.1799999999998</v>
      </c>
      <c r="H6" s="27">
        <f>F6-G6</f>
        <v>3277.6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2256.87</v>
      </c>
      <c r="D9" s="26"/>
      <c r="F9" s="26"/>
      <c r="H9" s="26"/>
      <c r="I9" s="26"/>
      <c r="J9" s="45"/>
    </row>
    <row r="10" spans="1:11" s="24" customFormat="1" x14ac:dyDescent="0.2">
      <c r="A10" s="20" t="s">
        <v>675</v>
      </c>
      <c r="B10" s="20" t="s">
        <v>389</v>
      </c>
      <c r="C10" s="22">
        <v>69.59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660</v>
      </c>
      <c r="B11" s="20" t="s">
        <v>394</v>
      </c>
      <c r="C11" s="21">
        <v>98.74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653</v>
      </c>
      <c r="B12" s="20" t="s">
        <v>657</v>
      </c>
      <c r="C12" s="21">
        <v>40</v>
      </c>
      <c r="D12" s="26"/>
      <c r="F12" s="25">
        <f>(H3+H6)/2</f>
        <v>2219.66</v>
      </c>
      <c r="G12" s="26"/>
      <c r="H12" s="26"/>
      <c r="I12" s="26"/>
      <c r="K12" s="45"/>
    </row>
    <row r="13" spans="1:11" s="24" customFormat="1" x14ac:dyDescent="0.2">
      <c r="A13" s="20" t="s">
        <v>633</v>
      </c>
      <c r="B13" s="20" t="s">
        <v>518</v>
      </c>
      <c r="C13" s="21">
        <v>542.02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626</v>
      </c>
      <c r="B14" s="20" t="s">
        <v>398</v>
      </c>
      <c r="C14" s="21">
        <v>154.66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650</v>
      </c>
      <c r="B15" s="20" t="s">
        <v>401</v>
      </c>
      <c r="C15" s="21">
        <v>14.18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628</v>
      </c>
      <c r="B16" s="20" t="s">
        <v>635</v>
      </c>
      <c r="C16" s="21">
        <v>434.01</v>
      </c>
      <c r="D16" s="26"/>
      <c r="F16" s="26"/>
      <c r="I16" s="26"/>
      <c r="J16" s="66"/>
      <c r="K16" s="45"/>
    </row>
    <row r="17" spans="1:11" s="24" customFormat="1" x14ac:dyDescent="0.2">
      <c r="A17" s="20" t="s">
        <v>651</v>
      </c>
      <c r="B17" s="20" t="s">
        <v>523</v>
      </c>
      <c r="C17" s="21">
        <v>6.99</v>
      </c>
      <c r="D17" s="90"/>
      <c r="F17" s="26"/>
      <c r="I17" s="26"/>
      <c r="J17" s="26"/>
      <c r="K17" s="26"/>
    </row>
    <row r="18" spans="1:11" s="24" customFormat="1" x14ac:dyDescent="0.2">
      <c r="A18" s="29"/>
      <c r="B18" s="29"/>
      <c r="C18" s="30"/>
      <c r="D18" s="26"/>
      <c r="F18" s="26"/>
      <c r="I18" s="26"/>
      <c r="J18" s="26"/>
      <c r="K18" s="26"/>
    </row>
    <row r="19" spans="1:11" s="24" customFormat="1" x14ac:dyDescent="0.2">
      <c r="A19" s="32" t="s">
        <v>13</v>
      </c>
      <c r="B19" s="25"/>
      <c r="C19" s="27"/>
      <c r="D19" s="26"/>
      <c r="F19" s="26"/>
      <c r="I19" s="26"/>
      <c r="J19" s="26"/>
      <c r="K19" s="26"/>
    </row>
    <row r="20" spans="1:11" s="24" customFormat="1" x14ac:dyDescent="0.2">
      <c r="A20" s="20" t="s">
        <v>598</v>
      </c>
      <c r="B20" s="20" t="s">
        <v>448</v>
      </c>
      <c r="C20" s="21">
        <v>483.15</v>
      </c>
      <c r="D20" s="26"/>
      <c r="F20" s="26"/>
      <c r="J20" s="41"/>
    </row>
    <row r="21" spans="1:11" s="24" customFormat="1" x14ac:dyDescent="0.2">
      <c r="A21" s="20" t="s">
        <v>267</v>
      </c>
      <c r="B21" s="20" t="s">
        <v>404</v>
      </c>
      <c r="C21" s="55">
        <v>52</v>
      </c>
      <c r="D21" s="26"/>
      <c r="F21" s="26"/>
    </row>
    <row r="22" spans="1:11" s="24" customFormat="1" x14ac:dyDescent="0.2">
      <c r="A22" s="20" t="s">
        <v>79</v>
      </c>
      <c r="B22" s="20" t="s">
        <v>390</v>
      </c>
      <c r="C22" s="21">
        <v>210.75</v>
      </c>
      <c r="F22" s="26"/>
      <c r="G22" s="111"/>
    </row>
    <row r="23" spans="1:11" s="24" customFormat="1" x14ac:dyDescent="0.2">
      <c r="A23" s="20" t="s">
        <v>666</v>
      </c>
      <c r="B23" s="20" t="s">
        <v>664</v>
      </c>
      <c r="C23" s="21">
        <v>120.67</v>
      </c>
      <c r="F23" s="26"/>
      <c r="G23" s="111"/>
    </row>
    <row r="24" spans="1:11" s="24" customFormat="1" x14ac:dyDescent="0.2">
      <c r="A24" s="20" t="s">
        <v>661</v>
      </c>
      <c r="B24" s="20" t="s">
        <v>440</v>
      </c>
      <c r="C24" s="21">
        <v>342.81</v>
      </c>
      <c r="D24" s="26"/>
      <c r="F24" s="26"/>
      <c r="G24" s="111"/>
    </row>
    <row r="25" spans="1:11" s="24" customFormat="1" x14ac:dyDescent="0.2">
      <c r="A25" s="20" t="s">
        <v>302</v>
      </c>
      <c r="B25" s="20" t="s">
        <v>388</v>
      </c>
      <c r="C25" s="21">
        <v>272.63</v>
      </c>
      <c r="D25" s="26"/>
      <c r="F25" s="26"/>
      <c r="I25" s="102"/>
    </row>
    <row r="26" spans="1:11" s="24" customFormat="1" x14ac:dyDescent="0.2">
      <c r="A26" s="20" t="s">
        <v>601</v>
      </c>
      <c r="B26" s="20" t="s">
        <v>395</v>
      </c>
      <c r="C26" s="21">
        <v>19.170000000000002</v>
      </c>
      <c r="D26" s="26"/>
      <c r="F26" s="26"/>
      <c r="I26" s="102"/>
    </row>
    <row r="27" spans="1:11" s="24" customFormat="1" x14ac:dyDescent="0.2">
      <c r="A27" s="29"/>
      <c r="B27" s="29"/>
      <c r="C27" s="29"/>
      <c r="D27" s="26"/>
      <c r="F27" s="26"/>
      <c r="I27" s="102"/>
    </row>
    <row r="28" spans="1:11" s="24" customFormat="1" x14ac:dyDescent="0.2">
      <c r="A28" s="26"/>
      <c r="B28" s="26"/>
      <c r="C28" s="26"/>
      <c r="D28" s="26"/>
      <c r="F28" s="26"/>
      <c r="I28" s="102"/>
    </row>
    <row r="29" spans="1:11" s="24" customFormat="1" x14ac:dyDescent="0.2">
      <c r="A29" s="26"/>
      <c r="B29" s="26"/>
      <c r="C29" s="26"/>
      <c r="F29" s="26"/>
      <c r="I29" s="102"/>
    </row>
    <row r="30" spans="1:11" s="24" customFormat="1" x14ac:dyDescent="0.2">
      <c r="A30" s="26"/>
      <c r="B30" s="26" t="s">
        <v>636</v>
      </c>
      <c r="C30" s="26" t="s">
        <v>637</v>
      </c>
      <c r="D30" s="26"/>
      <c r="F30" s="26"/>
      <c r="I30" s="52"/>
    </row>
    <row r="31" spans="1:11" s="24" customFormat="1" x14ac:dyDescent="0.2">
      <c r="A31" s="25" t="s">
        <v>600</v>
      </c>
      <c r="B31" s="103">
        <v>4025</v>
      </c>
      <c r="C31" s="27">
        <v>69</v>
      </c>
      <c r="D31" s="26"/>
      <c r="I31" s="52"/>
    </row>
    <row r="32" spans="1:11" s="24" customFormat="1" x14ac:dyDescent="0.2">
      <c r="D32" s="26"/>
      <c r="H32" s="26"/>
      <c r="I32" s="52"/>
    </row>
    <row r="33" spans="1:9" s="24" customFormat="1" x14ac:dyDescent="0.2">
      <c r="D33" s="26"/>
      <c r="G33" s="110"/>
      <c r="H33" s="26"/>
      <c r="I33" s="52"/>
    </row>
    <row r="34" spans="1:9" s="24" customFormat="1" x14ac:dyDescent="0.2">
      <c r="D34" s="26"/>
      <c r="H34" s="26"/>
      <c r="I34" s="52"/>
    </row>
    <row r="35" spans="1:9" s="24" customFormat="1" x14ac:dyDescent="0.2">
      <c r="D35" s="26"/>
      <c r="E35" s="101"/>
      <c r="H35" s="26"/>
      <c r="I35" s="52"/>
    </row>
    <row r="36" spans="1:9" s="24" customFormat="1" x14ac:dyDescent="0.2">
      <c r="D36" s="26"/>
      <c r="E36" s="101"/>
      <c r="H36" s="26"/>
      <c r="I36" s="26"/>
    </row>
    <row r="37" spans="1:9" s="24" customFormat="1" x14ac:dyDescent="0.2">
      <c r="D37" s="26"/>
      <c r="E37" s="101"/>
      <c r="H37" s="26"/>
      <c r="I37" s="26"/>
    </row>
    <row r="38" spans="1:9" s="24" customFormat="1" x14ac:dyDescent="0.2">
      <c r="D38" s="26"/>
      <c r="E38" s="104"/>
      <c r="H38" s="26"/>
      <c r="I38" s="26"/>
    </row>
    <row r="39" spans="1:9" s="24" customFormat="1" x14ac:dyDescent="0.2">
      <c r="A39" s="26"/>
      <c r="D39" s="26"/>
      <c r="E39" s="101"/>
      <c r="H39" s="26"/>
      <c r="I39" s="26"/>
    </row>
    <row r="40" spans="1:9" s="24" customFormat="1" x14ac:dyDescent="0.2">
      <c r="A40" s="26"/>
      <c r="D40" s="26"/>
      <c r="E40" s="101"/>
      <c r="H40" s="26"/>
      <c r="I40" s="26"/>
    </row>
    <row r="41" spans="1:9" s="24" customFormat="1" x14ac:dyDescent="0.2">
      <c r="A41" s="26"/>
      <c r="H41" s="26"/>
      <c r="I41" s="26"/>
    </row>
    <row r="42" spans="1:9" s="24" customFormat="1" x14ac:dyDescent="0.2">
      <c r="A42" s="26"/>
      <c r="C42" s="26"/>
      <c r="H42" s="26"/>
      <c r="I42" s="26"/>
    </row>
    <row r="43" spans="1:9" s="24" customFormat="1" x14ac:dyDescent="0.2">
      <c r="A43" s="26"/>
      <c r="C43" s="26"/>
      <c r="H43" s="26"/>
      <c r="I43" s="26"/>
    </row>
    <row r="44" spans="1:9" s="24" customFormat="1" x14ac:dyDescent="0.2">
      <c r="A44" s="26"/>
      <c r="C44" s="26"/>
      <c r="H44" s="26"/>
      <c r="I44" s="26"/>
    </row>
    <row r="45" spans="1:9" s="24" customFormat="1" x14ac:dyDescent="0.2">
      <c r="A45" s="26"/>
      <c r="C45" s="26"/>
      <c r="F45" s="108"/>
      <c r="G45" s="45"/>
      <c r="H45" s="26"/>
      <c r="I45" s="26"/>
    </row>
    <row r="46" spans="1:9" s="24" customFormat="1" x14ac:dyDescent="0.2">
      <c r="F46" s="26"/>
      <c r="G46" s="46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A48" s="26"/>
      <c r="C48" s="26"/>
      <c r="F48" s="26"/>
      <c r="G48" s="46"/>
      <c r="H48" s="26"/>
      <c r="I48" s="26"/>
    </row>
    <row r="49" spans="1:9" s="24" customFormat="1" x14ac:dyDescent="0.2">
      <c r="A49" s="26"/>
      <c r="C49" s="26"/>
      <c r="F49"/>
      <c r="G49" s="46"/>
      <c r="H49" s="26"/>
      <c r="I49" s="26"/>
    </row>
    <row r="50" spans="1:9" s="24" customFormat="1" x14ac:dyDescent="0.2">
      <c r="F50" s="26"/>
      <c r="G50" s="26"/>
      <c r="H50" s="26"/>
      <c r="I50" s="26"/>
    </row>
    <row r="51" spans="1:9" s="24" customFormat="1" x14ac:dyDescent="0.2">
      <c r="A51" s="26"/>
      <c r="B51" s="26"/>
      <c r="C51"/>
      <c r="F51" s="26"/>
      <c r="G51" s="26"/>
      <c r="I51" s="26"/>
    </row>
    <row r="52" spans="1:9" s="24" customFormat="1" x14ac:dyDescent="0.2">
      <c r="A52" s="91"/>
      <c r="B52" s="26"/>
      <c r="C52"/>
      <c r="F52" s="26"/>
      <c r="G52" s="26"/>
      <c r="I52" s="26"/>
    </row>
    <row r="53" spans="1:9" s="24" customFormat="1" x14ac:dyDescent="0.2">
      <c r="A53" s="91"/>
      <c r="B53"/>
      <c r="C53"/>
      <c r="F53" s="26"/>
      <c r="G53" s="26"/>
      <c r="H53" s="26"/>
    </row>
    <row r="54" spans="1:9" s="24" customFormat="1" x14ac:dyDescent="0.2">
      <c r="A54" s="91"/>
      <c r="B54" s="26"/>
      <c r="C54"/>
      <c r="F54" s="26"/>
      <c r="G54" s="26"/>
      <c r="H54" s="26"/>
    </row>
    <row r="55" spans="1:9" s="26" customFormat="1" x14ac:dyDescent="0.2">
      <c r="A55" s="91"/>
      <c r="C55"/>
    </row>
    <row r="56" spans="1:9" s="26" customFormat="1" x14ac:dyDescent="0.2">
      <c r="A56"/>
      <c r="B56"/>
      <c r="C56"/>
      <c r="H56" s="24"/>
    </row>
    <row r="57" spans="1:9" s="26" customFormat="1" x14ac:dyDescent="0.2">
      <c r="A57"/>
      <c r="B57"/>
      <c r="C57"/>
      <c r="G57" s="24"/>
      <c r="H57" s="24"/>
    </row>
    <row r="58" spans="1:9" s="26" customFormat="1" x14ac:dyDescent="0.2">
      <c r="A58" s="91"/>
      <c r="B58"/>
      <c r="C58"/>
      <c r="H58" s="24"/>
    </row>
    <row r="59" spans="1:9" s="24" customFormat="1" x14ac:dyDescent="0.2">
      <c r="A59" s="91"/>
      <c r="B59"/>
      <c r="C59"/>
      <c r="F59" s="26"/>
      <c r="G59" s="26"/>
      <c r="H59" s="26"/>
      <c r="I59" s="26"/>
    </row>
    <row r="60" spans="1:9" s="26" customFormat="1" x14ac:dyDescent="0.2">
      <c r="A60" s="91"/>
      <c r="B60"/>
      <c r="C60"/>
    </row>
    <row r="61" spans="1:9" s="26" customFormat="1" x14ac:dyDescent="0.2">
      <c r="A61" s="91"/>
      <c r="B61"/>
      <c r="C61"/>
      <c r="H61"/>
    </row>
    <row r="62" spans="1:9" s="26" customFormat="1" x14ac:dyDescent="0.2">
      <c r="A62" s="91"/>
      <c r="B62"/>
      <c r="C62"/>
      <c r="H62"/>
    </row>
    <row r="63" spans="1:9" s="24" customFormat="1" x14ac:dyDescent="0.2">
      <c r="A63" s="91"/>
      <c r="B63"/>
      <c r="C63"/>
      <c r="F63" s="26"/>
      <c r="G63" s="26"/>
      <c r="H63" s="26"/>
      <c r="I63" s="26"/>
    </row>
    <row r="64" spans="1:9" s="24" customFormat="1" x14ac:dyDescent="0.2">
      <c r="A64" s="91"/>
      <c r="B64"/>
      <c r="C64"/>
      <c r="D64" s="26"/>
      <c r="F64"/>
      <c r="G64" s="26"/>
      <c r="H64" s="26"/>
      <c r="I64" s="26"/>
    </row>
    <row r="65" spans="1:9" s="24" customFormat="1" x14ac:dyDescent="0.2">
      <c r="A65" s="91"/>
      <c r="B65"/>
      <c r="C65"/>
      <c r="D65" s="26"/>
      <c r="F65"/>
      <c r="G65" s="26"/>
      <c r="H65"/>
      <c r="I65" s="26"/>
    </row>
    <row r="66" spans="1:9" s="26" customFormat="1" x14ac:dyDescent="0.2">
      <c r="A66" s="91"/>
      <c r="B66"/>
      <c r="C66"/>
      <c r="G66"/>
      <c r="H66"/>
    </row>
    <row r="67" spans="1:9" s="26" customFormat="1" x14ac:dyDescent="0.2">
      <c r="A67" s="91"/>
      <c r="B67"/>
      <c r="C67"/>
      <c r="G67"/>
      <c r="H67"/>
      <c r="I67"/>
    </row>
    <row r="68" spans="1:9" x14ac:dyDescent="0.2">
      <c r="A68" s="91"/>
    </row>
    <row r="69" spans="1:9" x14ac:dyDescent="0.2">
      <c r="A69" s="91"/>
    </row>
    <row r="70" spans="1:9" s="26" customFormat="1" x14ac:dyDescent="0.2">
      <c r="A70" s="91"/>
      <c r="B70"/>
      <c r="C70"/>
      <c r="F70"/>
      <c r="G70"/>
      <c r="H70"/>
      <c r="I70"/>
    </row>
    <row r="71" spans="1:9" s="26" customFormat="1" x14ac:dyDescent="0.2">
      <c r="A71" s="91"/>
      <c r="B71"/>
      <c r="C71"/>
      <c r="F71"/>
      <c r="G71"/>
      <c r="H71"/>
      <c r="I71"/>
    </row>
    <row r="72" spans="1:9" x14ac:dyDescent="0.2">
      <c r="A72" s="91"/>
    </row>
    <row r="73" spans="1:9" x14ac:dyDescent="0.2">
      <c r="A73" s="91"/>
    </row>
    <row r="74" spans="1:9" x14ac:dyDescent="0.2">
      <c r="A74" s="91"/>
    </row>
  </sheetData>
  <pageMargins left="0.7" right="0.7" top="0.75" bottom="0.75" header="0.3" footer="0.3"/>
  <pageSetup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6907-B5A5-45C2-B98B-C58BF9D58B88}">
  <dimension ref="A1:K74"/>
  <sheetViews>
    <sheetView workbookViewId="0">
      <selection activeCell="A7" sqref="A1:XFD1048576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678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3337.25</v>
      </c>
      <c r="C3" s="51">
        <v>3337.25</v>
      </c>
      <c r="F3" s="33">
        <f>B3+B4</f>
        <v>4778.78</v>
      </c>
      <c r="G3" s="27">
        <f>C9+C10+C11+C12+C13+C14+C15+C16+C17</f>
        <v>3595.8399999999992</v>
      </c>
      <c r="H3" s="27">
        <f>F3-G3</f>
        <v>1182.9400000000005</v>
      </c>
    </row>
    <row r="4" spans="1:11" x14ac:dyDescent="0.2">
      <c r="A4" s="26" t="s">
        <v>265</v>
      </c>
      <c r="B4" s="51">
        <v>1441.53</v>
      </c>
      <c r="C4" s="51">
        <v>1441.53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4778.78</v>
      </c>
      <c r="G6" s="27">
        <f>C20+C21+C22+C23+C24+C25+C26</f>
        <v>1398.9900000000002</v>
      </c>
      <c r="H6" s="27">
        <f>F6-G6</f>
        <v>3379.7899999999995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2256.87</v>
      </c>
      <c r="D9" s="26"/>
      <c r="F9" s="26"/>
      <c r="H9" s="26"/>
      <c r="I9" s="26"/>
      <c r="J9" s="45"/>
    </row>
    <row r="10" spans="1:11" s="24" customFormat="1" x14ac:dyDescent="0.2">
      <c r="A10" s="20" t="s">
        <v>677</v>
      </c>
      <c r="B10" s="20" t="s">
        <v>389</v>
      </c>
      <c r="C10" s="22">
        <v>55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660</v>
      </c>
      <c r="B11" s="20" t="s">
        <v>394</v>
      </c>
      <c r="C11" s="21">
        <v>98.74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653</v>
      </c>
      <c r="B12" s="20" t="s">
        <v>657</v>
      </c>
      <c r="C12" s="21">
        <v>40</v>
      </c>
      <c r="D12" s="26"/>
      <c r="F12" s="25">
        <f>(H3+H6)/2</f>
        <v>2281.3649999999998</v>
      </c>
      <c r="G12" s="26"/>
      <c r="H12" s="26"/>
      <c r="I12" s="26"/>
      <c r="K12" s="45"/>
    </row>
    <row r="13" spans="1:11" s="24" customFormat="1" x14ac:dyDescent="0.2">
      <c r="A13" s="20" t="s">
        <v>633</v>
      </c>
      <c r="B13" s="20" t="s">
        <v>518</v>
      </c>
      <c r="C13" s="21">
        <v>542.02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626</v>
      </c>
      <c r="B14" s="20" t="s">
        <v>398</v>
      </c>
      <c r="C14" s="21">
        <v>148.03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650</v>
      </c>
      <c r="B15" s="20" t="s">
        <v>401</v>
      </c>
      <c r="C15" s="21">
        <v>14.18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628</v>
      </c>
      <c r="B16" s="20" t="s">
        <v>635</v>
      </c>
      <c r="C16" s="21">
        <v>434.01</v>
      </c>
      <c r="D16" s="26"/>
      <c r="F16" s="26"/>
      <c r="I16" s="26"/>
      <c r="J16" s="66"/>
      <c r="K16" s="45"/>
    </row>
    <row r="17" spans="1:11" s="24" customFormat="1" x14ac:dyDescent="0.2">
      <c r="A17" s="20" t="s">
        <v>651</v>
      </c>
      <c r="B17" s="20" t="s">
        <v>523</v>
      </c>
      <c r="C17" s="21">
        <v>6.99</v>
      </c>
      <c r="D17" s="90"/>
      <c r="F17" s="26"/>
      <c r="I17" s="26"/>
      <c r="J17" s="26"/>
      <c r="K17" s="26"/>
    </row>
    <row r="18" spans="1:11" s="24" customFormat="1" x14ac:dyDescent="0.2">
      <c r="A18" s="29"/>
      <c r="B18" s="29"/>
      <c r="C18" s="30"/>
      <c r="D18" s="26"/>
      <c r="F18" s="26"/>
      <c r="I18" s="26"/>
      <c r="J18" s="26"/>
      <c r="K18" s="26"/>
    </row>
    <row r="19" spans="1:11" s="24" customFormat="1" x14ac:dyDescent="0.2">
      <c r="A19" s="32" t="s">
        <v>13</v>
      </c>
      <c r="B19" s="25"/>
      <c r="C19" s="27"/>
      <c r="D19" s="26"/>
      <c r="F19" s="26"/>
      <c r="I19" s="26"/>
      <c r="J19" s="26"/>
      <c r="K19" s="26"/>
    </row>
    <row r="20" spans="1:11" s="24" customFormat="1" x14ac:dyDescent="0.2">
      <c r="A20" s="20" t="s">
        <v>598</v>
      </c>
      <c r="B20" s="20" t="s">
        <v>448</v>
      </c>
      <c r="C20" s="21">
        <v>483.15</v>
      </c>
      <c r="D20" s="26"/>
      <c r="F20" s="26"/>
      <c r="J20" s="41"/>
    </row>
    <row r="21" spans="1:11" s="24" customFormat="1" x14ac:dyDescent="0.2">
      <c r="A21" s="20" t="s">
        <v>267</v>
      </c>
      <c r="B21" s="20" t="s">
        <v>404</v>
      </c>
      <c r="C21" s="55">
        <v>52</v>
      </c>
      <c r="D21" s="26"/>
      <c r="F21" s="26"/>
    </row>
    <row r="22" spans="1:11" s="24" customFormat="1" x14ac:dyDescent="0.2">
      <c r="A22" s="20" t="s">
        <v>79</v>
      </c>
      <c r="B22" s="20" t="s">
        <v>390</v>
      </c>
      <c r="C22" s="21">
        <v>210.75</v>
      </c>
      <c r="F22" s="26"/>
      <c r="G22" s="111"/>
    </row>
    <row r="23" spans="1:11" s="24" customFormat="1" x14ac:dyDescent="0.2">
      <c r="A23" s="20" t="s">
        <v>661</v>
      </c>
      <c r="B23" s="20" t="s">
        <v>440</v>
      </c>
      <c r="C23" s="21">
        <v>342.81</v>
      </c>
      <c r="D23" s="26"/>
      <c r="F23" s="26"/>
      <c r="G23" s="111"/>
    </row>
    <row r="24" spans="1:11" s="24" customFormat="1" x14ac:dyDescent="0.2">
      <c r="A24" s="20" t="s">
        <v>302</v>
      </c>
      <c r="B24" s="20" t="s">
        <v>388</v>
      </c>
      <c r="C24" s="21">
        <v>170.44</v>
      </c>
      <c r="D24" s="26"/>
      <c r="F24" s="26"/>
      <c r="I24" s="102"/>
    </row>
    <row r="25" spans="1:11" s="24" customFormat="1" x14ac:dyDescent="0.2">
      <c r="A25" s="20" t="s">
        <v>601</v>
      </c>
      <c r="B25" s="20" t="s">
        <v>395</v>
      </c>
      <c r="C25" s="21">
        <v>19.170000000000002</v>
      </c>
      <c r="D25" s="26"/>
      <c r="F25" s="26"/>
      <c r="I25" s="102"/>
    </row>
    <row r="26" spans="1:11" s="24" customFormat="1" x14ac:dyDescent="0.2">
      <c r="A26" s="20" t="s">
        <v>666</v>
      </c>
      <c r="B26" s="20" t="s">
        <v>664</v>
      </c>
      <c r="C26" s="21">
        <v>120.67</v>
      </c>
      <c r="D26" s="26"/>
      <c r="F26" s="26"/>
      <c r="I26" s="102"/>
    </row>
    <row r="27" spans="1:11" s="24" customFormat="1" x14ac:dyDescent="0.2">
      <c r="A27" s="29"/>
      <c r="B27" s="29"/>
      <c r="C27" s="29"/>
      <c r="D27" s="26"/>
      <c r="F27" s="26"/>
      <c r="I27" s="102"/>
    </row>
    <row r="28" spans="1:11" s="24" customFormat="1" x14ac:dyDescent="0.2">
      <c r="A28" s="26"/>
      <c r="B28" s="26"/>
      <c r="C28" s="26"/>
      <c r="F28" s="26"/>
      <c r="I28" s="102"/>
    </row>
    <row r="29" spans="1:11" s="24" customFormat="1" x14ac:dyDescent="0.2">
      <c r="A29" s="26"/>
      <c r="B29" s="26"/>
      <c r="C29" s="26"/>
      <c r="D29" s="26"/>
      <c r="F29" s="26"/>
      <c r="I29" s="52"/>
    </row>
    <row r="30" spans="1:11" s="24" customFormat="1" x14ac:dyDescent="0.2">
      <c r="A30" s="26"/>
      <c r="B30" s="26" t="s">
        <v>636</v>
      </c>
      <c r="C30" s="26" t="s">
        <v>637</v>
      </c>
      <c r="D30" s="26"/>
      <c r="G30" s="24" t="s">
        <v>679</v>
      </c>
      <c r="I30" s="52"/>
    </row>
    <row r="31" spans="1:11" s="24" customFormat="1" x14ac:dyDescent="0.2">
      <c r="A31" s="25" t="s">
        <v>600</v>
      </c>
      <c r="B31" s="103">
        <v>4025</v>
      </c>
      <c r="C31" s="27">
        <v>69</v>
      </c>
      <c r="D31" s="26"/>
      <c r="G31" s="24" t="s">
        <v>680</v>
      </c>
      <c r="H31" s="26"/>
      <c r="I31" s="52"/>
    </row>
    <row r="32" spans="1:11" s="24" customFormat="1" x14ac:dyDescent="0.2">
      <c r="D32" s="26"/>
      <c r="G32" s="110" t="s">
        <v>681</v>
      </c>
      <c r="H32" s="26"/>
      <c r="I32" s="52"/>
    </row>
    <row r="33" spans="1:9" s="24" customFormat="1" x14ac:dyDescent="0.2">
      <c r="D33" s="26"/>
      <c r="H33" s="26"/>
      <c r="I33" s="52"/>
    </row>
    <row r="34" spans="1:9" s="24" customFormat="1" x14ac:dyDescent="0.2">
      <c r="D34" s="26"/>
      <c r="E34" s="101"/>
      <c r="H34" s="26"/>
      <c r="I34" s="52"/>
    </row>
    <row r="35" spans="1:9" s="24" customFormat="1" x14ac:dyDescent="0.2">
      <c r="D35" s="26"/>
      <c r="E35" s="101"/>
      <c r="H35" s="26"/>
      <c r="I35" s="26"/>
    </row>
    <row r="36" spans="1:9" s="24" customFormat="1" x14ac:dyDescent="0.2">
      <c r="D36" s="26"/>
      <c r="E36" s="101"/>
      <c r="H36" s="26"/>
      <c r="I36" s="26"/>
    </row>
    <row r="37" spans="1:9" s="24" customFormat="1" x14ac:dyDescent="0.2">
      <c r="D37" s="26"/>
      <c r="E37" s="104"/>
      <c r="H37" s="26"/>
      <c r="I37" s="26"/>
    </row>
    <row r="38" spans="1:9" s="24" customFormat="1" x14ac:dyDescent="0.2">
      <c r="D38" s="26"/>
      <c r="E38" s="101"/>
      <c r="H38" s="26"/>
      <c r="I38" s="26"/>
    </row>
    <row r="39" spans="1:9" s="24" customFormat="1" x14ac:dyDescent="0.2">
      <c r="A39" s="26"/>
      <c r="D39" s="26"/>
      <c r="E39" s="101"/>
      <c r="H39" s="26"/>
      <c r="I39" s="26"/>
    </row>
    <row r="40" spans="1:9" s="24" customFormat="1" x14ac:dyDescent="0.2">
      <c r="A40" s="26"/>
      <c r="H40" s="26"/>
      <c r="I40" s="26"/>
    </row>
    <row r="41" spans="1:9" s="24" customFormat="1" x14ac:dyDescent="0.2">
      <c r="A41" s="26"/>
      <c r="H41" s="26"/>
      <c r="I41" s="26"/>
    </row>
    <row r="42" spans="1:9" s="24" customFormat="1" x14ac:dyDescent="0.2">
      <c r="A42" s="26"/>
      <c r="C42" s="26"/>
      <c r="H42" s="26"/>
      <c r="I42" s="26"/>
    </row>
    <row r="43" spans="1:9" s="24" customFormat="1" x14ac:dyDescent="0.2">
      <c r="A43" s="26"/>
      <c r="C43" s="26"/>
      <c r="H43" s="26"/>
      <c r="I43" s="26"/>
    </row>
    <row r="44" spans="1:9" s="24" customFormat="1" x14ac:dyDescent="0.2">
      <c r="A44" s="26"/>
      <c r="C44" s="26"/>
      <c r="F44" s="108"/>
      <c r="G44" s="45"/>
      <c r="H44" s="26"/>
      <c r="I44" s="26"/>
    </row>
    <row r="45" spans="1:9" s="24" customFormat="1" x14ac:dyDescent="0.2">
      <c r="A45" s="26"/>
      <c r="C45" s="26"/>
      <c r="F45" s="26"/>
      <c r="G45" s="46"/>
      <c r="H45" s="26"/>
      <c r="I45" s="26"/>
    </row>
    <row r="46" spans="1:9" s="24" customFormat="1" x14ac:dyDescent="0.2">
      <c r="F46" s="26"/>
      <c r="G46" s="46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A48" s="26"/>
      <c r="C48" s="26"/>
      <c r="F48"/>
      <c r="G48" s="46"/>
      <c r="H48" s="26"/>
      <c r="I48" s="26"/>
    </row>
    <row r="49" spans="1:9" s="24" customFormat="1" x14ac:dyDescent="0.2">
      <c r="A49" s="26"/>
      <c r="C49" s="26"/>
      <c r="F49" s="26"/>
      <c r="G49" s="26"/>
      <c r="H49" s="26"/>
      <c r="I49" s="26"/>
    </row>
    <row r="50" spans="1:9" s="24" customFormat="1" x14ac:dyDescent="0.2">
      <c r="F50" s="26"/>
      <c r="G50" s="26"/>
      <c r="I50" s="26"/>
    </row>
    <row r="51" spans="1:9" s="24" customFormat="1" x14ac:dyDescent="0.2">
      <c r="A51" s="26"/>
      <c r="B51" s="26"/>
      <c r="C51"/>
      <c r="F51" s="26"/>
      <c r="G51" s="26"/>
      <c r="I51" s="26"/>
    </row>
    <row r="52" spans="1:9" s="24" customFormat="1" x14ac:dyDescent="0.2">
      <c r="A52" s="91"/>
      <c r="B52" s="26"/>
      <c r="C52"/>
      <c r="F52" s="26"/>
      <c r="G52" s="26"/>
      <c r="H52" s="26"/>
    </row>
    <row r="53" spans="1:9" s="24" customFormat="1" x14ac:dyDescent="0.2">
      <c r="A53" s="91"/>
      <c r="B53"/>
      <c r="C53"/>
      <c r="F53" s="26"/>
      <c r="G53" s="26"/>
      <c r="H53" s="26"/>
    </row>
    <row r="54" spans="1:9" s="26" customFormat="1" x14ac:dyDescent="0.2">
      <c r="A54" s="91"/>
      <c r="C54"/>
    </row>
    <row r="55" spans="1:9" s="26" customFormat="1" x14ac:dyDescent="0.2">
      <c r="A55" s="91"/>
      <c r="C55"/>
      <c r="H55" s="24"/>
    </row>
    <row r="56" spans="1:9" s="26" customFormat="1" x14ac:dyDescent="0.2">
      <c r="A56"/>
      <c r="B56"/>
      <c r="C56"/>
      <c r="G56" s="24"/>
      <c r="H56" s="24"/>
    </row>
    <row r="57" spans="1:9" s="26" customFormat="1" x14ac:dyDescent="0.2">
      <c r="A57"/>
      <c r="B57"/>
      <c r="C57"/>
      <c r="H57" s="24"/>
    </row>
    <row r="58" spans="1:9" s="24" customFormat="1" x14ac:dyDescent="0.2">
      <c r="A58" s="91"/>
      <c r="B58"/>
      <c r="C58"/>
      <c r="F58" s="26"/>
      <c r="G58" s="26"/>
      <c r="H58" s="26"/>
      <c r="I58" s="26"/>
    </row>
    <row r="59" spans="1:9" s="26" customFormat="1" x14ac:dyDescent="0.2">
      <c r="A59" s="91"/>
      <c r="B59"/>
      <c r="C59"/>
    </row>
    <row r="60" spans="1:9" s="26" customFormat="1" x14ac:dyDescent="0.2">
      <c r="A60" s="91"/>
      <c r="B60"/>
      <c r="C60"/>
      <c r="H60"/>
    </row>
    <row r="61" spans="1:9" s="26" customFormat="1" x14ac:dyDescent="0.2">
      <c r="A61" s="91"/>
      <c r="B61"/>
      <c r="C61"/>
      <c r="H61"/>
    </row>
    <row r="62" spans="1:9" s="24" customFormat="1" x14ac:dyDescent="0.2">
      <c r="A62" s="91"/>
      <c r="B62"/>
      <c r="C62"/>
      <c r="F62" s="26"/>
      <c r="G62" s="26"/>
      <c r="H62" s="26"/>
      <c r="I62" s="26"/>
    </row>
    <row r="63" spans="1:9" s="24" customFormat="1" x14ac:dyDescent="0.2">
      <c r="A63" s="91"/>
      <c r="B63"/>
      <c r="C63"/>
      <c r="D63" s="26"/>
      <c r="F63"/>
      <c r="G63" s="26"/>
      <c r="H63" s="26"/>
      <c r="I63" s="26"/>
    </row>
    <row r="64" spans="1:9" s="24" customFormat="1" x14ac:dyDescent="0.2">
      <c r="A64" s="91"/>
      <c r="B64"/>
      <c r="C64"/>
      <c r="D64" s="26"/>
      <c r="F64"/>
      <c r="G64" s="26"/>
      <c r="H64"/>
      <c r="I64" s="26"/>
    </row>
    <row r="65" spans="1:9" s="26" customFormat="1" x14ac:dyDescent="0.2">
      <c r="A65" s="91"/>
      <c r="B65"/>
      <c r="C65"/>
      <c r="G65"/>
      <c r="H65"/>
    </row>
    <row r="66" spans="1:9" s="26" customFormat="1" x14ac:dyDescent="0.2">
      <c r="A66" s="91"/>
      <c r="B66"/>
      <c r="C66"/>
      <c r="G66"/>
      <c r="H66"/>
      <c r="I66"/>
    </row>
    <row r="67" spans="1:9" x14ac:dyDescent="0.2">
      <c r="A67" s="91"/>
    </row>
    <row r="68" spans="1:9" x14ac:dyDescent="0.2">
      <c r="A68" s="91"/>
    </row>
    <row r="69" spans="1:9" s="26" customFormat="1" x14ac:dyDescent="0.2">
      <c r="A69" s="91"/>
      <c r="B69"/>
      <c r="C69"/>
      <c r="F69"/>
      <c r="G69"/>
      <c r="H69"/>
      <c r="I69"/>
    </row>
    <row r="70" spans="1:9" s="26" customFormat="1" x14ac:dyDescent="0.2">
      <c r="A70" s="91"/>
      <c r="B70"/>
      <c r="C70"/>
      <c r="F70"/>
      <c r="G70"/>
      <c r="H70"/>
      <c r="I70"/>
    </row>
    <row r="71" spans="1:9" x14ac:dyDescent="0.2">
      <c r="A71" s="91"/>
    </row>
    <row r="72" spans="1:9" x14ac:dyDescent="0.2">
      <c r="A72" s="91"/>
    </row>
    <row r="73" spans="1:9" x14ac:dyDescent="0.2">
      <c r="A73" s="91"/>
    </row>
    <row r="74" spans="1:9" x14ac:dyDescent="0.2">
      <c r="A74" s="91"/>
    </row>
  </sheetData>
  <pageMargins left="0.7" right="0.7" top="0.75" bottom="0.75" header="0.3" footer="0.3"/>
  <pageSetup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6DFC-67F7-4179-904A-B04CC71A8D81}">
  <dimension ref="A1:K74"/>
  <sheetViews>
    <sheetView workbookViewId="0">
      <selection activeCell="A23" sqref="A23:C23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676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3337.25</v>
      </c>
      <c r="C3" s="51">
        <v>3337.25</v>
      </c>
      <c r="F3" s="33">
        <f>B3+B4</f>
        <v>4778.78</v>
      </c>
      <c r="G3" s="27">
        <f>C9+C10+C11+C12+C13+C14+C15+C16+C17</f>
        <v>3595.8399999999992</v>
      </c>
      <c r="H3" s="27">
        <f>F3-G3</f>
        <v>1182.9400000000005</v>
      </c>
    </row>
    <row r="4" spans="1:11" x14ac:dyDescent="0.2">
      <c r="A4" s="26" t="s">
        <v>265</v>
      </c>
      <c r="B4" s="116">
        <v>1441.53</v>
      </c>
      <c r="C4" s="116">
        <v>1441.53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4778.78</v>
      </c>
      <c r="G6" s="27">
        <f>C20+C21+C22+C23+C24+C25+C26</f>
        <v>1349.8300000000002</v>
      </c>
      <c r="H6" s="27">
        <f>F6-G6</f>
        <v>3428.95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2256.87</v>
      </c>
      <c r="D9" s="26"/>
      <c r="F9" s="26"/>
      <c r="H9" s="26"/>
      <c r="I9" s="26"/>
      <c r="J9" s="45"/>
    </row>
    <row r="10" spans="1:11" s="24" customFormat="1" x14ac:dyDescent="0.2">
      <c r="A10" s="20" t="s">
        <v>677</v>
      </c>
      <c r="B10" s="20" t="s">
        <v>389</v>
      </c>
      <c r="C10" s="22">
        <v>55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660</v>
      </c>
      <c r="B11" s="20" t="s">
        <v>394</v>
      </c>
      <c r="C11" s="21">
        <v>98.74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653</v>
      </c>
      <c r="B12" s="20" t="s">
        <v>657</v>
      </c>
      <c r="C12" s="21">
        <v>40</v>
      </c>
      <c r="D12" s="26"/>
      <c r="F12" s="25">
        <f>(H3+H6)/2</f>
        <v>2305.9450000000002</v>
      </c>
      <c r="G12" s="26"/>
      <c r="H12" s="26"/>
      <c r="I12" s="26"/>
      <c r="K12" s="45"/>
    </row>
    <row r="13" spans="1:11" s="24" customFormat="1" x14ac:dyDescent="0.2">
      <c r="A13" s="20" t="s">
        <v>633</v>
      </c>
      <c r="B13" s="20" t="s">
        <v>518</v>
      </c>
      <c r="C13" s="21">
        <v>542.02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626</v>
      </c>
      <c r="B14" s="20" t="s">
        <v>398</v>
      </c>
      <c r="C14" s="21">
        <v>148.03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650</v>
      </c>
      <c r="B15" s="20" t="s">
        <v>401</v>
      </c>
      <c r="C15" s="21">
        <v>14.18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628</v>
      </c>
      <c r="B16" s="20" t="s">
        <v>635</v>
      </c>
      <c r="C16" s="21">
        <v>434.01</v>
      </c>
      <c r="D16" s="26"/>
      <c r="F16" s="26"/>
      <c r="I16" s="26"/>
      <c r="J16" s="66"/>
      <c r="K16" s="45"/>
    </row>
    <row r="17" spans="1:11" s="24" customFormat="1" x14ac:dyDescent="0.2">
      <c r="A17" s="20" t="s">
        <v>651</v>
      </c>
      <c r="B17" s="20" t="s">
        <v>523</v>
      </c>
      <c r="C17" s="21">
        <v>6.99</v>
      </c>
      <c r="D17" s="90"/>
      <c r="F17" s="26"/>
      <c r="I17" s="26"/>
      <c r="J17" s="26"/>
      <c r="K17" s="26"/>
    </row>
    <row r="18" spans="1:11" s="24" customFormat="1" x14ac:dyDescent="0.2">
      <c r="A18" s="29"/>
      <c r="B18" s="29"/>
      <c r="C18" s="30"/>
      <c r="D18" s="26"/>
      <c r="F18" s="26"/>
      <c r="I18" s="26"/>
      <c r="J18" s="26"/>
      <c r="K18" s="26"/>
    </row>
    <row r="19" spans="1:11" s="24" customFormat="1" x14ac:dyDescent="0.2">
      <c r="A19" s="32" t="s">
        <v>13</v>
      </c>
      <c r="B19" s="25"/>
      <c r="C19" s="27"/>
      <c r="D19" s="26"/>
      <c r="F19" s="26"/>
      <c r="I19" s="26"/>
      <c r="J19" s="26"/>
      <c r="K19" s="26"/>
    </row>
    <row r="20" spans="1:11" s="24" customFormat="1" x14ac:dyDescent="0.2">
      <c r="A20" s="20" t="s">
        <v>598</v>
      </c>
      <c r="B20" s="20" t="s">
        <v>448</v>
      </c>
      <c r="C20" s="21">
        <v>483.15</v>
      </c>
      <c r="D20" s="26"/>
      <c r="F20" s="26"/>
      <c r="J20" s="41"/>
    </row>
    <row r="21" spans="1:11" s="24" customFormat="1" x14ac:dyDescent="0.2">
      <c r="A21" s="20" t="s">
        <v>267</v>
      </c>
      <c r="B21" s="20" t="s">
        <v>404</v>
      </c>
      <c r="C21" s="55">
        <v>52</v>
      </c>
      <c r="D21" s="26"/>
      <c r="F21" s="26"/>
    </row>
    <row r="22" spans="1:11" s="24" customFormat="1" x14ac:dyDescent="0.2">
      <c r="A22" s="20" t="s">
        <v>79</v>
      </c>
      <c r="B22" s="20" t="s">
        <v>390</v>
      </c>
      <c r="C22" s="21">
        <v>212.75</v>
      </c>
      <c r="D22" s="26"/>
      <c r="F22" s="26"/>
      <c r="G22" s="111"/>
    </row>
    <row r="23" spans="1:11" s="24" customFormat="1" x14ac:dyDescent="0.2">
      <c r="A23" s="20" t="s">
        <v>661</v>
      </c>
      <c r="B23" s="20" t="s">
        <v>440</v>
      </c>
      <c r="C23" s="21">
        <v>342.81</v>
      </c>
      <c r="D23" s="26"/>
      <c r="F23" s="26"/>
      <c r="G23" s="111"/>
    </row>
    <row r="24" spans="1:11" s="24" customFormat="1" x14ac:dyDescent="0.2">
      <c r="A24" s="20" t="s">
        <v>302</v>
      </c>
      <c r="B24" s="20" t="s">
        <v>388</v>
      </c>
      <c r="C24" s="21">
        <v>120.94</v>
      </c>
      <c r="D24" s="26"/>
      <c r="F24" s="26"/>
      <c r="I24" s="102"/>
    </row>
    <row r="25" spans="1:11" s="24" customFormat="1" x14ac:dyDescent="0.2">
      <c r="A25" s="20" t="s">
        <v>601</v>
      </c>
      <c r="B25" s="20" t="s">
        <v>395</v>
      </c>
      <c r="C25" s="21">
        <v>17.510000000000002</v>
      </c>
      <c r="D25" s="26"/>
      <c r="F25" s="26"/>
      <c r="I25" s="102"/>
    </row>
    <row r="26" spans="1:11" s="24" customFormat="1" x14ac:dyDescent="0.2">
      <c r="A26" s="20" t="s">
        <v>666</v>
      </c>
      <c r="B26" s="20" t="s">
        <v>664</v>
      </c>
      <c r="C26" s="21">
        <v>120.67</v>
      </c>
      <c r="D26" s="26"/>
      <c r="F26" s="26"/>
      <c r="I26" s="102"/>
    </row>
    <row r="27" spans="1:11" s="24" customFormat="1" x14ac:dyDescent="0.2">
      <c r="A27" s="14"/>
      <c r="B27" s="14"/>
      <c r="C27" s="14"/>
      <c r="D27" s="26"/>
      <c r="F27" s="26"/>
      <c r="I27" s="102"/>
    </row>
    <row r="28" spans="1:11" s="24" customFormat="1" x14ac:dyDescent="0.2">
      <c r="A28"/>
      <c r="B28"/>
      <c r="C28"/>
      <c r="F28" s="26"/>
      <c r="I28" s="102"/>
    </row>
    <row r="29" spans="1:11" s="24" customFormat="1" x14ac:dyDescent="0.2">
      <c r="C29"/>
      <c r="D29" s="26"/>
      <c r="F29" s="26"/>
      <c r="I29" s="52"/>
    </row>
    <row r="30" spans="1:11" s="24" customFormat="1" x14ac:dyDescent="0.2">
      <c r="B30" s="24" t="s">
        <v>636</v>
      </c>
      <c r="C30" s="24" t="s">
        <v>637</v>
      </c>
      <c r="D30" s="26"/>
      <c r="I30" s="52"/>
    </row>
    <row r="31" spans="1:11" s="24" customFormat="1" x14ac:dyDescent="0.2">
      <c r="A31" s="20" t="s">
        <v>600</v>
      </c>
      <c r="B31" s="109">
        <v>4025</v>
      </c>
      <c r="C31" s="21">
        <v>69</v>
      </c>
      <c r="D31" s="26"/>
      <c r="H31" s="26"/>
      <c r="I31" s="52"/>
    </row>
    <row r="32" spans="1:11" s="24" customFormat="1" x14ac:dyDescent="0.2">
      <c r="D32" s="26"/>
      <c r="G32" s="110"/>
      <c r="H32" s="26"/>
      <c r="I32" s="52"/>
    </row>
    <row r="33" spans="1:9" s="24" customFormat="1" x14ac:dyDescent="0.2">
      <c r="D33" s="26"/>
      <c r="H33" s="26"/>
      <c r="I33" s="52"/>
    </row>
    <row r="34" spans="1:9" s="24" customFormat="1" x14ac:dyDescent="0.2">
      <c r="D34" s="26"/>
      <c r="E34" s="101"/>
      <c r="H34" s="26"/>
      <c r="I34" s="52"/>
    </row>
    <row r="35" spans="1:9" s="24" customFormat="1" x14ac:dyDescent="0.2">
      <c r="D35" s="26"/>
      <c r="E35" s="101"/>
      <c r="H35" s="26"/>
      <c r="I35" s="26"/>
    </row>
    <row r="36" spans="1:9" s="24" customFormat="1" x14ac:dyDescent="0.2">
      <c r="D36" s="26"/>
      <c r="E36" s="101"/>
      <c r="H36" s="26"/>
      <c r="I36" s="26"/>
    </row>
    <row r="37" spans="1:9" s="24" customFormat="1" x14ac:dyDescent="0.2">
      <c r="D37" s="26"/>
      <c r="E37" s="104"/>
      <c r="H37" s="26"/>
      <c r="I37" s="26"/>
    </row>
    <row r="38" spans="1:9" s="24" customFormat="1" x14ac:dyDescent="0.2">
      <c r="D38" s="26"/>
      <c r="E38" s="101"/>
      <c r="H38" s="26"/>
      <c r="I38" s="26"/>
    </row>
    <row r="39" spans="1:9" s="24" customFormat="1" x14ac:dyDescent="0.2">
      <c r="A39" s="26"/>
      <c r="D39" s="26"/>
      <c r="E39" s="101"/>
      <c r="H39" s="26"/>
      <c r="I39" s="26"/>
    </row>
    <row r="40" spans="1:9" s="24" customFormat="1" x14ac:dyDescent="0.2">
      <c r="A40" s="26"/>
      <c r="H40" s="26"/>
      <c r="I40" s="26"/>
    </row>
    <row r="41" spans="1:9" s="24" customFormat="1" x14ac:dyDescent="0.2">
      <c r="A41" s="26"/>
      <c r="H41" s="26"/>
      <c r="I41" s="26"/>
    </row>
    <row r="42" spans="1:9" s="24" customFormat="1" x14ac:dyDescent="0.2">
      <c r="A42" s="26"/>
      <c r="C42" s="26"/>
      <c r="H42" s="26"/>
      <c r="I42" s="26"/>
    </row>
    <row r="43" spans="1:9" s="24" customFormat="1" x14ac:dyDescent="0.2">
      <c r="A43" s="26"/>
      <c r="C43" s="26"/>
      <c r="H43" s="26"/>
      <c r="I43" s="26"/>
    </row>
    <row r="44" spans="1:9" s="24" customFormat="1" x14ac:dyDescent="0.2">
      <c r="A44" s="26"/>
      <c r="C44" s="26"/>
      <c r="F44" s="108"/>
      <c r="G44" s="45"/>
      <c r="H44" s="26"/>
      <c r="I44" s="26"/>
    </row>
    <row r="45" spans="1:9" s="24" customFormat="1" x14ac:dyDescent="0.2">
      <c r="A45" s="26"/>
      <c r="C45" s="26"/>
      <c r="F45" s="26"/>
      <c r="G45" s="46"/>
      <c r="H45" s="26"/>
      <c r="I45" s="26"/>
    </row>
    <row r="46" spans="1:9" s="24" customFormat="1" x14ac:dyDescent="0.2">
      <c r="F46" s="26"/>
      <c r="G46" s="46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A48" s="26"/>
      <c r="C48" s="26"/>
      <c r="F48"/>
      <c r="G48" s="46"/>
      <c r="H48" s="26"/>
      <c r="I48" s="26"/>
    </row>
    <row r="49" spans="1:9" s="24" customFormat="1" x14ac:dyDescent="0.2">
      <c r="A49" s="26"/>
      <c r="C49" s="26"/>
      <c r="F49" s="26"/>
      <c r="G49" s="26"/>
      <c r="H49" s="26"/>
      <c r="I49" s="26"/>
    </row>
    <row r="50" spans="1:9" s="24" customFormat="1" x14ac:dyDescent="0.2">
      <c r="F50" s="26"/>
      <c r="G50" s="26"/>
      <c r="I50" s="26"/>
    </row>
    <row r="51" spans="1:9" s="24" customFormat="1" x14ac:dyDescent="0.2">
      <c r="A51" s="26"/>
      <c r="B51" s="26"/>
      <c r="C51"/>
      <c r="F51" s="26"/>
      <c r="G51" s="26"/>
      <c r="I51" s="26"/>
    </row>
    <row r="52" spans="1:9" s="24" customFormat="1" x14ac:dyDescent="0.2">
      <c r="A52" s="91"/>
      <c r="B52" s="26"/>
      <c r="C52"/>
      <c r="F52" s="26"/>
      <c r="G52" s="26"/>
      <c r="H52" s="26"/>
    </row>
    <row r="53" spans="1:9" s="24" customFormat="1" x14ac:dyDescent="0.2">
      <c r="A53" s="91"/>
      <c r="B53"/>
      <c r="C53"/>
      <c r="F53" s="26"/>
      <c r="G53" s="26"/>
      <c r="H53" s="26"/>
    </row>
    <row r="54" spans="1:9" s="26" customFormat="1" x14ac:dyDescent="0.2">
      <c r="A54" s="91"/>
      <c r="C54"/>
    </row>
    <row r="55" spans="1:9" s="26" customFormat="1" x14ac:dyDescent="0.2">
      <c r="A55" s="91"/>
      <c r="C55"/>
      <c r="H55" s="24"/>
    </row>
    <row r="56" spans="1:9" s="26" customFormat="1" x14ac:dyDescent="0.2">
      <c r="A56"/>
      <c r="B56"/>
      <c r="C56"/>
      <c r="G56" s="24"/>
      <c r="H56" s="24"/>
    </row>
    <row r="57" spans="1:9" s="26" customFormat="1" x14ac:dyDescent="0.2">
      <c r="A57"/>
      <c r="B57"/>
      <c r="C57"/>
      <c r="H57" s="24"/>
    </row>
    <row r="58" spans="1:9" s="24" customFormat="1" x14ac:dyDescent="0.2">
      <c r="A58" s="91"/>
      <c r="B58"/>
      <c r="C58"/>
      <c r="F58" s="26"/>
      <c r="G58" s="26"/>
      <c r="H58" s="26"/>
      <c r="I58" s="26"/>
    </row>
    <row r="59" spans="1:9" s="26" customFormat="1" x14ac:dyDescent="0.2">
      <c r="A59" s="91"/>
      <c r="B59"/>
      <c r="C59"/>
    </row>
    <row r="60" spans="1:9" s="26" customFormat="1" x14ac:dyDescent="0.2">
      <c r="A60" s="91"/>
      <c r="B60"/>
      <c r="C60"/>
      <c r="H60"/>
    </row>
    <row r="61" spans="1:9" s="26" customFormat="1" x14ac:dyDescent="0.2">
      <c r="A61" s="91"/>
      <c r="B61"/>
      <c r="C61"/>
      <c r="H61"/>
    </row>
    <row r="62" spans="1:9" s="24" customFormat="1" x14ac:dyDescent="0.2">
      <c r="A62" s="91"/>
      <c r="B62"/>
      <c r="C62"/>
      <c r="F62" s="26"/>
      <c r="G62" s="26"/>
      <c r="H62" s="26"/>
      <c r="I62" s="26"/>
    </row>
    <row r="63" spans="1:9" s="24" customFormat="1" x14ac:dyDescent="0.2">
      <c r="A63" s="91"/>
      <c r="B63"/>
      <c r="C63"/>
      <c r="D63" s="26"/>
      <c r="F63"/>
      <c r="G63" s="26"/>
      <c r="H63" s="26"/>
      <c r="I63" s="26"/>
    </row>
    <row r="64" spans="1:9" s="24" customFormat="1" x14ac:dyDescent="0.2">
      <c r="A64" s="91"/>
      <c r="B64"/>
      <c r="C64"/>
      <c r="D64" s="26"/>
      <c r="F64"/>
      <c r="G64" s="26"/>
      <c r="H64"/>
      <c r="I64" s="26"/>
    </row>
    <row r="65" spans="1:9" s="26" customFormat="1" x14ac:dyDescent="0.2">
      <c r="A65" s="91"/>
      <c r="B65"/>
      <c r="C65"/>
      <c r="G65"/>
      <c r="H65"/>
    </row>
    <row r="66" spans="1:9" s="26" customFormat="1" x14ac:dyDescent="0.2">
      <c r="A66" s="91"/>
      <c r="B66"/>
      <c r="C66"/>
      <c r="G66"/>
      <c r="H66"/>
      <c r="I66"/>
    </row>
    <row r="67" spans="1:9" x14ac:dyDescent="0.2">
      <c r="A67" s="91"/>
    </row>
    <row r="68" spans="1:9" x14ac:dyDescent="0.2">
      <c r="A68" s="91"/>
    </row>
    <row r="69" spans="1:9" s="26" customFormat="1" x14ac:dyDescent="0.2">
      <c r="A69" s="91"/>
      <c r="B69"/>
      <c r="C69"/>
      <c r="F69"/>
      <c r="G69"/>
      <c r="H69"/>
      <c r="I69"/>
    </row>
    <row r="70" spans="1:9" s="26" customFormat="1" x14ac:dyDescent="0.2">
      <c r="A70" s="91"/>
      <c r="B70"/>
      <c r="C70"/>
      <c r="F70"/>
      <c r="G70"/>
      <c r="H70"/>
      <c r="I70"/>
    </row>
    <row r="71" spans="1:9" x14ac:dyDescent="0.2">
      <c r="A71" s="91"/>
    </row>
    <row r="72" spans="1:9" x14ac:dyDescent="0.2">
      <c r="A72" s="91"/>
    </row>
    <row r="73" spans="1:9" x14ac:dyDescent="0.2">
      <c r="A73" s="91"/>
    </row>
    <row r="74" spans="1:9" x14ac:dyDescent="0.2">
      <c r="A74" s="91"/>
    </row>
  </sheetData>
  <pageMargins left="0.7" right="0.7" top="0.75" bottom="0.75" header="0.3" footer="0.3"/>
  <pageSetup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56A69-854C-4F28-B5BF-A03C1A581F49}">
  <dimension ref="A1:K74"/>
  <sheetViews>
    <sheetView workbookViewId="0">
      <selection activeCell="E21" sqref="E21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674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3337.25</v>
      </c>
      <c r="C3" s="51">
        <v>3337.25</v>
      </c>
      <c r="F3" s="33">
        <f>B3+B4</f>
        <v>4778.78</v>
      </c>
      <c r="G3" s="27">
        <f>C9+C10+C11+C12+C13+C14+C15</f>
        <v>3442.0999999999995</v>
      </c>
      <c r="H3" s="27">
        <f>F3-G3</f>
        <v>1336.6800000000003</v>
      </c>
    </row>
    <row r="4" spans="1:11" x14ac:dyDescent="0.2">
      <c r="A4" s="26" t="s">
        <v>265</v>
      </c>
      <c r="B4" s="116">
        <v>1441.53</v>
      </c>
      <c r="C4" s="116">
        <v>1441.53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4778.78</v>
      </c>
      <c r="G6" s="27">
        <f>C18+C19+C20+C21+C22+C23+C24+C25+C26</f>
        <v>1781.5800000000002</v>
      </c>
      <c r="H6" s="27">
        <f>F6-G6</f>
        <v>2997.2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2256.87</v>
      </c>
      <c r="D9" s="26"/>
      <c r="F9" s="26"/>
      <c r="H9" s="26"/>
      <c r="I9" s="26"/>
      <c r="J9" s="45"/>
    </row>
    <row r="10" spans="1:11" s="24" customFormat="1" x14ac:dyDescent="0.2">
      <c r="A10" s="20" t="s">
        <v>653</v>
      </c>
      <c r="B10" s="20" t="s">
        <v>657</v>
      </c>
      <c r="C10" s="21">
        <v>40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633</v>
      </c>
      <c r="B11" s="20" t="s">
        <v>518</v>
      </c>
      <c r="C11" s="21">
        <v>542.02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626</v>
      </c>
      <c r="B12" s="20" t="s">
        <v>398</v>
      </c>
      <c r="C12" s="21">
        <v>148.03</v>
      </c>
      <c r="D12" s="26"/>
      <c r="F12" s="25">
        <f>(H3+H6)/2</f>
        <v>2166.94</v>
      </c>
      <c r="G12" s="26"/>
      <c r="H12" s="26"/>
      <c r="I12" s="26"/>
      <c r="K12" s="45"/>
    </row>
    <row r="13" spans="1:11" s="24" customFormat="1" x14ac:dyDescent="0.2">
      <c r="A13" s="20" t="s">
        <v>650</v>
      </c>
      <c r="B13" s="20" t="s">
        <v>401</v>
      </c>
      <c r="C13" s="21">
        <v>14.18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628</v>
      </c>
      <c r="B14" s="20" t="s">
        <v>635</v>
      </c>
      <c r="C14" s="21">
        <v>434.01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651</v>
      </c>
      <c r="B15" s="20" t="s">
        <v>523</v>
      </c>
      <c r="C15" s="21">
        <v>6.99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9"/>
      <c r="B16" s="29"/>
      <c r="C16" s="30"/>
      <c r="D16" s="26"/>
      <c r="F16" s="26"/>
      <c r="I16" s="26"/>
      <c r="J16" s="66"/>
      <c r="K16" s="45"/>
    </row>
    <row r="17" spans="1:11" s="24" customFormat="1" x14ac:dyDescent="0.2">
      <c r="A17" s="32" t="s">
        <v>13</v>
      </c>
      <c r="B17" s="25"/>
      <c r="C17" s="27"/>
      <c r="D17" s="90"/>
      <c r="F17" s="26"/>
      <c r="I17" s="26"/>
      <c r="J17" s="26"/>
      <c r="K17" s="26"/>
    </row>
    <row r="18" spans="1:11" s="24" customFormat="1" x14ac:dyDescent="0.2">
      <c r="A18" s="20" t="s">
        <v>660</v>
      </c>
      <c r="B18" s="20" t="s">
        <v>400</v>
      </c>
      <c r="C18" s="21">
        <v>98.74</v>
      </c>
      <c r="D18" s="26"/>
      <c r="F18" s="26"/>
      <c r="I18" s="26"/>
      <c r="J18" s="26"/>
      <c r="K18" s="26"/>
    </row>
    <row r="19" spans="1:11" s="24" customFormat="1" x14ac:dyDescent="0.2">
      <c r="A19" s="20" t="s">
        <v>598</v>
      </c>
      <c r="B19" s="20" t="s">
        <v>448</v>
      </c>
      <c r="C19" s="21">
        <v>483.15</v>
      </c>
      <c r="D19" s="26"/>
      <c r="F19" s="26"/>
      <c r="I19" s="26"/>
      <c r="J19" s="26"/>
      <c r="K19" s="26"/>
    </row>
    <row r="20" spans="1:11" s="24" customFormat="1" x14ac:dyDescent="0.2">
      <c r="A20" s="20" t="s">
        <v>267</v>
      </c>
      <c r="B20" s="20" t="s">
        <v>404</v>
      </c>
      <c r="C20" s="55">
        <v>80</v>
      </c>
      <c r="D20" s="26"/>
      <c r="F20" s="26"/>
      <c r="J20" s="41"/>
    </row>
    <row r="21" spans="1:11" s="24" customFormat="1" x14ac:dyDescent="0.2">
      <c r="A21" s="20" t="s">
        <v>79</v>
      </c>
      <c r="B21" s="20" t="s">
        <v>390</v>
      </c>
      <c r="C21" s="21">
        <v>212.75</v>
      </c>
      <c r="D21" s="26"/>
      <c r="F21" s="26"/>
    </row>
    <row r="22" spans="1:11" s="24" customFormat="1" x14ac:dyDescent="0.2">
      <c r="A22" s="20" t="s">
        <v>675</v>
      </c>
      <c r="B22" s="20" t="s">
        <v>393</v>
      </c>
      <c r="C22" s="55">
        <v>69.540000000000006</v>
      </c>
      <c r="D22" s="26"/>
      <c r="F22" s="26"/>
      <c r="G22" s="111">
        <v>6924.36</v>
      </c>
    </row>
    <row r="23" spans="1:11" s="24" customFormat="1" x14ac:dyDescent="0.2">
      <c r="A23" s="20" t="s">
        <v>661</v>
      </c>
      <c r="B23" s="20" t="s">
        <v>440</v>
      </c>
      <c r="C23" s="21">
        <v>342.81</v>
      </c>
      <c r="D23" s="26"/>
      <c r="F23" s="26"/>
      <c r="G23" s="117">
        <v>1119.69</v>
      </c>
    </row>
    <row r="24" spans="1:11" s="24" customFormat="1" x14ac:dyDescent="0.2">
      <c r="A24" s="20" t="s">
        <v>302</v>
      </c>
      <c r="B24" s="20" t="s">
        <v>388</v>
      </c>
      <c r="C24" s="21">
        <v>356.41</v>
      </c>
      <c r="D24" s="26"/>
      <c r="F24" s="26"/>
      <c r="G24" s="111">
        <v>5804.67</v>
      </c>
      <c r="I24" s="102"/>
    </row>
    <row r="25" spans="1:11" s="24" customFormat="1" x14ac:dyDescent="0.2">
      <c r="A25" s="20" t="s">
        <v>601</v>
      </c>
      <c r="B25" s="20" t="s">
        <v>395</v>
      </c>
      <c r="C25" s="21">
        <v>17.510000000000002</v>
      </c>
      <c r="D25" s="26"/>
      <c r="F25" s="26"/>
      <c r="I25" s="102"/>
    </row>
    <row r="26" spans="1:11" s="24" customFormat="1" x14ac:dyDescent="0.2">
      <c r="A26" s="20" t="s">
        <v>666</v>
      </c>
      <c r="B26" s="20" t="s">
        <v>664</v>
      </c>
      <c r="C26" s="21">
        <v>120.67</v>
      </c>
      <c r="D26" s="26"/>
      <c r="F26" s="26"/>
      <c r="G26" s="24">
        <v>5804.67</v>
      </c>
      <c r="I26" s="102"/>
    </row>
    <row r="27" spans="1:11" s="24" customFormat="1" x14ac:dyDescent="0.2">
      <c r="A27" s="14"/>
      <c r="B27" s="14"/>
      <c r="C27" s="14"/>
      <c r="D27" s="26"/>
      <c r="F27" s="26"/>
      <c r="G27" s="118">
        <v>3442.1</v>
      </c>
      <c r="I27" s="102"/>
    </row>
    <row r="28" spans="1:11" s="24" customFormat="1" x14ac:dyDescent="0.2">
      <c r="A28"/>
      <c r="B28"/>
      <c r="C28"/>
      <c r="F28" s="26"/>
      <c r="G28" s="24">
        <v>2362.5700000000002</v>
      </c>
      <c r="I28" s="102"/>
    </row>
    <row r="29" spans="1:11" s="24" customFormat="1" x14ac:dyDescent="0.2">
      <c r="C29"/>
      <c r="D29" s="26"/>
      <c r="F29" s="26"/>
      <c r="I29" s="52"/>
    </row>
    <row r="30" spans="1:11" s="24" customFormat="1" x14ac:dyDescent="0.2">
      <c r="B30" s="24" t="s">
        <v>636</v>
      </c>
      <c r="C30" s="24" t="s">
        <v>637</v>
      </c>
      <c r="D30" s="26"/>
      <c r="G30" s="24">
        <v>2362.5700000000002</v>
      </c>
      <c r="I30" s="52"/>
    </row>
    <row r="31" spans="1:11" s="24" customFormat="1" x14ac:dyDescent="0.2">
      <c r="A31" s="20" t="s">
        <v>600</v>
      </c>
      <c r="B31" s="109">
        <v>4025</v>
      </c>
      <c r="C31" s="21">
        <v>69</v>
      </c>
      <c r="D31" s="26"/>
      <c r="G31" s="24">
        <v>2930.11</v>
      </c>
      <c r="H31" s="26"/>
      <c r="I31" s="52"/>
    </row>
    <row r="32" spans="1:11" s="24" customFormat="1" x14ac:dyDescent="0.2">
      <c r="D32" s="26"/>
      <c r="G32" s="119">
        <v>2883.06</v>
      </c>
      <c r="H32" s="26"/>
      <c r="I32" s="52"/>
    </row>
    <row r="33" spans="1:9" s="24" customFormat="1" x14ac:dyDescent="0.2">
      <c r="D33" s="26"/>
      <c r="G33" s="24">
        <v>8175.74</v>
      </c>
      <c r="H33" s="26"/>
      <c r="I33" s="52"/>
    </row>
    <row r="34" spans="1:9" s="24" customFormat="1" x14ac:dyDescent="0.2">
      <c r="D34" s="26"/>
      <c r="E34" s="101"/>
      <c r="H34" s="26"/>
      <c r="I34" s="52"/>
    </row>
    <row r="35" spans="1:9" s="24" customFormat="1" x14ac:dyDescent="0.2">
      <c r="D35" s="26"/>
      <c r="E35" s="101"/>
      <c r="G35" s="24">
        <v>8175.74</v>
      </c>
      <c r="H35" s="26"/>
      <c r="I35" s="26"/>
    </row>
    <row r="36" spans="1:9" s="24" customFormat="1" x14ac:dyDescent="0.2">
      <c r="D36" s="26"/>
      <c r="E36" s="101"/>
      <c r="G36" s="118">
        <v>1716</v>
      </c>
      <c r="H36" s="26"/>
      <c r="I36" s="26"/>
    </row>
    <row r="37" spans="1:9" s="24" customFormat="1" x14ac:dyDescent="0.2">
      <c r="D37" s="26"/>
      <c r="E37" s="104"/>
      <c r="G37" s="115">
        <v>6459.74</v>
      </c>
      <c r="H37" s="26"/>
      <c r="I37" s="26"/>
    </row>
    <row r="38" spans="1:9" s="24" customFormat="1" x14ac:dyDescent="0.2">
      <c r="D38" s="26"/>
      <c r="E38" s="101"/>
      <c r="H38" s="26"/>
      <c r="I38" s="26"/>
    </row>
    <row r="39" spans="1:9" s="24" customFormat="1" x14ac:dyDescent="0.2">
      <c r="A39" s="26"/>
      <c r="D39" s="26"/>
      <c r="E39" s="101"/>
      <c r="H39" s="26"/>
      <c r="I39" s="26"/>
    </row>
    <row r="40" spans="1:9" s="24" customFormat="1" x14ac:dyDescent="0.2">
      <c r="A40" s="26"/>
      <c r="H40" s="26"/>
      <c r="I40" s="26"/>
    </row>
    <row r="41" spans="1:9" s="24" customFormat="1" x14ac:dyDescent="0.2">
      <c r="A41" s="26"/>
      <c r="H41" s="26"/>
      <c r="I41" s="26"/>
    </row>
    <row r="42" spans="1:9" s="24" customFormat="1" x14ac:dyDescent="0.2">
      <c r="A42" s="26"/>
      <c r="C42" s="26"/>
      <c r="H42" s="26"/>
      <c r="I42" s="26"/>
    </row>
    <row r="43" spans="1:9" s="24" customFormat="1" x14ac:dyDescent="0.2">
      <c r="A43" s="26"/>
      <c r="C43" s="26"/>
      <c r="H43" s="26"/>
      <c r="I43" s="26"/>
    </row>
    <row r="44" spans="1:9" s="24" customFormat="1" x14ac:dyDescent="0.2">
      <c r="A44" s="26"/>
      <c r="C44" s="26"/>
      <c r="F44" s="108"/>
      <c r="G44" s="45"/>
      <c r="H44" s="26"/>
      <c r="I44" s="26"/>
    </row>
    <row r="45" spans="1:9" s="24" customFormat="1" x14ac:dyDescent="0.2">
      <c r="A45" s="26"/>
      <c r="C45" s="26"/>
      <c r="F45" s="26"/>
      <c r="G45" s="46"/>
      <c r="H45" s="26"/>
      <c r="I45" s="26"/>
    </row>
    <row r="46" spans="1:9" s="24" customFormat="1" x14ac:dyDescent="0.2">
      <c r="F46" s="26"/>
      <c r="G46" s="46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A48" s="26"/>
      <c r="C48" s="26"/>
      <c r="F48"/>
      <c r="G48" s="46"/>
      <c r="H48" s="26"/>
      <c r="I48" s="26"/>
    </row>
    <row r="49" spans="1:9" s="24" customFormat="1" x14ac:dyDescent="0.2">
      <c r="A49" s="26"/>
      <c r="C49" s="26"/>
      <c r="F49" s="26"/>
      <c r="G49" s="26"/>
      <c r="H49" s="26"/>
      <c r="I49" s="26"/>
    </row>
    <row r="50" spans="1:9" s="24" customFormat="1" x14ac:dyDescent="0.2">
      <c r="F50" s="26"/>
      <c r="G50" s="26"/>
      <c r="I50" s="26"/>
    </row>
    <row r="51" spans="1:9" s="24" customFormat="1" x14ac:dyDescent="0.2">
      <c r="A51" s="26"/>
      <c r="B51" s="26"/>
      <c r="C51"/>
      <c r="F51" s="26"/>
      <c r="G51" s="26"/>
      <c r="I51" s="26"/>
    </row>
    <row r="52" spans="1:9" s="24" customFormat="1" x14ac:dyDescent="0.2">
      <c r="A52" s="91"/>
      <c r="B52" s="26"/>
      <c r="C52"/>
      <c r="F52" s="26"/>
      <c r="G52" s="26"/>
      <c r="H52" s="26"/>
    </row>
    <row r="53" spans="1:9" s="24" customFormat="1" x14ac:dyDescent="0.2">
      <c r="A53" s="91"/>
      <c r="B53"/>
      <c r="C53"/>
      <c r="F53" s="26"/>
      <c r="G53" s="26"/>
      <c r="H53" s="26"/>
    </row>
    <row r="54" spans="1:9" s="26" customFormat="1" x14ac:dyDescent="0.2">
      <c r="A54" s="91"/>
      <c r="C54"/>
    </row>
    <row r="55" spans="1:9" s="26" customFormat="1" x14ac:dyDescent="0.2">
      <c r="A55" s="91"/>
      <c r="C55"/>
      <c r="H55" s="24"/>
    </row>
    <row r="56" spans="1:9" s="26" customFormat="1" x14ac:dyDescent="0.2">
      <c r="A56"/>
      <c r="B56"/>
      <c r="C56"/>
      <c r="G56" s="24"/>
      <c r="H56" s="24"/>
    </row>
    <row r="57" spans="1:9" s="26" customFormat="1" x14ac:dyDescent="0.2">
      <c r="A57"/>
      <c r="B57"/>
      <c r="C57"/>
      <c r="H57" s="24"/>
    </row>
    <row r="58" spans="1:9" s="24" customFormat="1" x14ac:dyDescent="0.2">
      <c r="A58" s="91"/>
      <c r="B58"/>
      <c r="C58"/>
      <c r="F58" s="26"/>
      <c r="G58" s="26"/>
      <c r="H58" s="26"/>
      <c r="I58" s="26"/>
    </row>
    <row r="59" spans="1:9" s="26" customFormat="1" x14ac:dyDescent="0.2">
      <c r="A59" s="91"/>
      <c r="B59"/>
      <c r="C59"/>
    </row>
    <row r="60" spans="1:9" s="26" customFormat="1" x14ac:dyDescent="0.2">
      <c r="A60" s="91"/>
      <c r="B60"/>
      <c r="C60"/>
      <c r="H60"/>
    </row>
    <row r="61" spans="1:9" s="26" customFormat="1" x14ac:dyDescent="0.2">
      <c r="A61" s="91"/>
      <c r="B61"/>
      <c r="C61"/>
      <c r="H61"/>
    </row>
    <row r="62" spans="1:9" s="24" customFormat="1" x14ac:dyDescent="0.2">
      <c r="A62" s="91"/>
      <c r="B62"/>
      <c r="C62"/>
      <c r="F62" s="26"/>
      <c r="G62" s="26"/>
      <c r="H62" s="26"/>
      <c r="I62" s="26"/>
    </row>
    <row r="63" spans="1:9" s="24" customFormat="1" x14ac:dyDescent="0.2">
      <c r="A63" s="91"/>
      <c r="B63"/>
      <c r="C63"/>
      <c r="D63" s="26"/>
      <c r="F63"/>
      <c r="G63" s="26"/>
      <c r="H63" s="26"/>
      <c r="I63" s="26"/>
    </row>
    <row r="64" spans="1:9" s="24" customFormat="1" x14ac:dyDescent="0.2">
      <c r="A64" s="91"/>
      <c r="B64"/>
      <c r="C64"/>
      <c r="D64" s="26"/>
      <c r="F64"/>
      <c r="G64" s="26"/>
      <c r="H64"/>
      <c r="I64" s="26"/>
    </row>
    <row r="65" spans="1:9" s="26" customFormat="1" x14ac:dyDescent="0.2">
      <c r="A65" s="91"/>
      <c r="B65"/>
      <c r="C65"/>
      <c r="G65"/>
      <c r="H65"/>
    </row>
    <row r="66" spans="1:9" s="26" customFormat="1" x14ac:dyDescent="0.2">
      <c r="A66" s="91"/>
      <c r="B66"/>
      <c r="C66"/>
      <c r="G66"/>
      <c r="H66"/>
      <c r="I66"/>
    </row>
    <row r="67" spans="1:9" x14ac:dyDescent="0.2">
      <c r="A67" s="91"/>
    </row>
    <row r="68" spans="1:9" x14ac:dyDescent="0.2">
      <c r="A68" s="91"/>
    </row>
    <row r="69" spans="1:9" s="26" customFormat="1" x14ac:dyDescent="0.2">
      <c r="A69" s="91"/>
      <c r="B69"/>
      <c r="C69"/>
      <c r="F69"/>
      <c r="G69"/>
      <c r="H69"/>
      <c r="I69"/>
    </row>
    <row r="70" spans="1:9" s="26" customFormat="1" x14ac:dyDescent="0.2">
      <c r="A70" s="91"/>
      <c r="B70"/>
      <c r="C70"/>
      <c r="F70"/>
      <c r="G70"/>
      <c r="H70"/>
      <c r="I70"/>
    </row>
    <row r="71" spans="1:9" x14ac:dyDescent="0.2">
      <c r="A71" s="91"/>
    </row>
    <row r="72" spans="1:9" x14ac:dyDescent="0.2">
      <c r="A72" s="91"/>
    </row>
    <row r="73" spans="1:9" x14ac:dyDescent="0.2">
      <c r="A73" s="91"/>
    </row>
    <row r="74" spans="1:9" x14ac:dyDescent="0.2">
      <c r="A74" s="91"/>
    </row>
  </sheetData>
  <pageMargins left="0.7" right="0.7" top="0.75" bottom="0.75" header="0.3" footer="0.3"/>
  <pageSetup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B2D8-DCF0-4E11-9757-B05465BE32B3}">
  <dimension ref="A1:K74"/>
  <sheetViews>
    <sheetView workbookViewId="0">
      <selection activeCell="A25" sqref="A25:C25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673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3277.24</v>
      </c>
      <c r="C3" s="51">
        <v>3277.24</v>
      </c>
      <c r="F3" s="33">
        <f>B3+B4</f>
        <v>4718.7699999999995</v>
      </c>
      <c r="G3" s="27">
        <f>C9+C10+C11+C12+C13+C14+C15+C16</f>
        <v>3565.2</v>
      </c>
      <c r="H3" s="27">
        <f>F3-G3</f>
        <v>1153.5699999999997</v>
      </c>
    </row>
    <row r="4" spans="1:11" x14ac:dyDescent="0.2">
      <c r="A4" s="26" t="s">
        <v>265</v>
      </c>
      <c r="B4" s="116">
        <v>1441.53</v>
      </c>
      <c r="C4" s="116">
        <v>1441.53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4718.7699999999995</v>
      </c>
      <c r="G6" s="27">
        <f>C19+C20+C21+C22+C23+C24+C25+C26</f>
        <v>1709.82</v>
      </c>
      <c r="H6" s="27">
        <f>F6-G6</f>
        <v>3008.95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2256.87</v>
      </c>
      <c r="D9" s="26"/>
      <c r="F9" s="26"/>
      <c r="H9" s="26"/>
      <c r="I9" s="26"/>
      <c r="J9" s="45"/>
    </row>
    <row r="10" spans="1:11" s="24" customFormat="1" x14ac:dyDescent="0.2">
      <c r="A10" s="20" t="s">
        <v>301</v>
      </c>
      <c r="B10" s="20" t="s">
        <v>399</v>
      </c>
      <c r="C10" s="55">
        <v>123.1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653</v>
      </c>
      <c r="B11" s="20" t="s">
        <v>657</v>
      </c>
      <c r="C11" s="21">
        <v>40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633</v>
      </c>
      <c r="B12" s="20" t="s">
        <v>518</v>
      </c>
      <c r="C12" s="21">
        <v>542.02</v>
      </c>
      <c r="D12" s="26"/>
      <c r="F12" s="25">
        <f>(H3+H6)/2</f>
        <v>2081.2599999999998</v>
      </c>
      <c r="G12" s="26"/>
      <c r="H12" s="26"/>
      <c r="I12" s="26"/>
      <c r="K12" s="45"/>
    </row>
    <row r="13" spans="1:11" s="24" customFormat="1" x14ac:dyDescent="0.2">
      <c r="A13" s="20" t="s">
        <v>626</v>
      </c>
      <c r="B13" s="20" t="s">
        <v>398</v>
      </c>
      <c r="C13" s="21">
        <v>148.03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650</v>
      </c>
      <c r="B14" s="20" t="s">
        <v>401</v>
      </c>
      <c r="C14" s="21">
        <v>14.18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628</v>
      </c>
      <c r="B15" s="20" t="s">
        <v>635</v>
      </c>
      <c r="C15" s="21">
        <v>434.01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651</v>
      </c>
      <c r="B16" s="20" t="s">
        <v>523</v>
      </c>
      <c r="C16" s="21">
        <v>6.99</v>
      </c>
      <c r="D16" s="26"/>
      <c r="F16" s="26"/>
      <c r="I16" s="26"/>
      <c r="J16" s="66"/>
      <c r="K16" s="45"/>
    </row>
    <row r="17" spans="1:11" s="24" customFormat="1" x14ac:dyDescent="0.2">
      <c r="A17" s="29"/>
      <c r="B17" s="29"/>
      <c r="C17" s="30"/>
      <c r="D17" s="90"/>
      <c r="F17" s="26"/>
      <c r="I17" s="26"/>
      <c r="J17" s="26"/>
      <c r="K17" s="26"/>
    </row>
    <row r="18" spans="1:11" s="24" customFormat="1" x14ac:dyDescent="0.2">
      <c r="A18" s="32" t="s">
        <v>13</v>
      </c>
      <c r="B18" s="25"/>
      <c r="C18" s="27"/>
      <c r="D18" s="26"/>
      <c r="F18" s="26"/>
      <c r="I18" s="26"/>
      <c r="J18" s="26"/>
      <c r="K18" s="26"/>
    </row>
    <row r="19" spans="1:11" s="24" customFormat="1" x14ac:dyDescent="0.2">
      <c r="A19" s="20" t="s">
        <v>660</v>
      </c>
      <c r="B19" s="20" t="s">
        <v>400</v>
      </c>
      <c r="C19" s="21">
        <v>98.74</v>
      </c>
      <c r="D19" s="26"/>
      <c r="F19" s="26"/>
      <c r="I19" s="26"/>
      <c r="J19" s="26"/>
      <c r="K19" s="26"/>
    </row>
    <row r="20" spans="1:11" s="24" customFormat="1" x14ac:dyDescent="0.2">
      <c r="A20" s="20" t="s">
        <v>598</v>
      </c>
      <c r="B20" s="20" t="s">
        <v>448</v>
      </c>
      <c r="C20" s="21">
        <v>483.15</v>
      </c>
      <c r="D20" s="26"/>
      <c r="F20" s="26"/>
      <c r="J20" s="41"/>
    </row>
    <row r="21" spans="1:11" s="24" customFormat="1" x14ac:dyDescent="0.2">
      <c r="A21" s="20" t="s">
        <v>267</v>
      </c>
      <c r="B21" s="20" t="s">
        <v>404</v>
      </c>
      <c r="C21" s="55">
        <v>80</v>
      </c>
      <c r="D21" s="26"/>
      <c r="F21" s="26"/>
    </row>
    <row r="22" spans="1:11" s="24" customFormat="1" x14ac:dyDescent="0.2">
      <c r="A22" s="20" t="s">
        <v>79</v>
      </c>
      <c r="B22" s="20" t="s">
        <v>390</v>
      </c>
      <c r="C22" s="21">
        <v>210.53</v>
      </c>
      <c r="D22" s="26"/>
      <c r="F22" s="26"/>
      <c r="G22" s="111"/>
    </row>
    <row r="23" spans="1:11" s="24" customFormat="1" x14ac:dyDescent="0.2">
      <c r="A23" s="20" t="s">
        <v>302</v>
      </c>
      <c r="B23" s="20" t="s">
        <v>388</v>
      </c>
      <c r="C23" s="21">
        <v>356.41</v>
      </c>
      <c r="D23" s="26"/>
      <c r="F23" s="26"/>
      <c r="G23" s="111"/>
    </row>
    <row r="24" spans="1:11" s="24" customFormat="1" x14ac:dyDescent="0.2">
      <c r="A24" s="20" t="s">
        <v>601</v>
      </c>
      <c r="B24" s="20" t="s">
        <v>395</v>
      </c>
      <c r="C24" s="21">
        <v>17.510000000000002</v>
      </c>
      <c r="D24" s="26"/>
      <c r="F24" s="26"/>
      <c r="I24" s="102"/>
    </row>
    <row r="25" spans="1:11" s="24" customFormat="1" x14ac:dyDescent="0.2">
      <c r="A25" s="20" t="s">
        <v>661</v>
      </c>
      <c r="B25" s="20" t="s">
        <v>664</v>
      </c>
      <c r="C25" s="21">
        <v>342.81</v>
      </c>
      <c r="D25" s="26"/>
      <c r="F25" s="26"/>
      <c r="I25" s="102"/>
    </row>
    <row r="26" spans="1:11" s="24" customFormat="1" x14ac:dyDescent="0.2">
      <c r="A26" s="20" t="s">
        <v>666</v>
      </c>
      <c r="B26" s="20" t="s">
        <v>664</v>
      </c>
      <c r="C26" s="21">
        <v>120.67</v>
      </c>
      <c r="D26" s="26"/>
      <c r="F26" s="26"/>
      <c r="I26" s="102"/>
    </row>
    <row r="27" spans="1:11" s="24" customFormat="1" x14ac:dyDescent="0.2">
      <c r="A27" s="14"/>
      <c r="B27" s="14"/>
      <c r="C27" s="14"/>
      <c r="D27" s="26"/>
      <c r="F27" s="26"/>
      <c r="I27" s="102"/>
    </row>
    <row r="28" spans="1:11" s="24" customFormat="1" x14ac:dyDescent="0.2">
      <c r="A28"/>
      <c r="B28"/>
      <c r="C28"/>
      <c r="F28" s="26"/>
      <c r="I28" s="102"/>
    </row>
    <row r="29" spans="1:11" s="24" customFormat="1" x14ac:dyDescent="0.2">
      <c r="C29"/>
      <c r="D29" s="26"/>
      <c r="F29" s="26"/>
      <c r="I29" s="52"/>
    </row>
    <row r="30" spans="1:11" s="24" customFormat="1" x14ac:dyDescent="0.2">
      <c r="B30" s="24" t="s">
        <v>636</v>
      </c>
      <c r="C30" s="24" t="s">
        <v>637</v>
      </c>
      <c r="D30" s="26"/>
      <c r="I30" s="52"/>
    </row>
    <row r="31" spans="1:11" s="24" customFormat="1" x14ac:dyDescent="0.2">
      <c r="A31" s="20" t="s">
        <v>600</v>
      </c>
      <c r="B31" s="109">
        <v>4025</v>
      </c>
      <c r="C31" s="21">
        <v>69</v>
      </c>
      <c r="D31" s="26"/>
      <c r="H31" s="26"/>
      <c r="I31" s="52"/>
    </row>
    <row r="32" spans="1:11" s="24" customFormat="1" x14ac:dyDescent="0.2">
      <c r="D32" s="26"/>
      <c r="G32" s="110"/>
      <c r="H32" s="26"/>
      <c r="I32" s="52"/>
    </row>
    <row r="33" spans="1:9" s="24" customFormat="1" x14ac:dyDescent="0.2">
      <c r="D33" s="26"/>
      <c r="H33" s="26"/>
      <c r="I33" s="52"/>
    </row>
    <row r="34" spans="1:9" s="24" customFormat="1" x14ac:dyDescent="0.2">
      <c r="D34" s="26"/>
      <c r="E34" s="101"/>
      <c r="H34" s="26"/>
      <c r="I34" s="52"/>
    </row>
    <row r="35" spans="1:9" s="24" customFormat="1" x14ac:dyDescent="0.2">
      <c r="D35" s="26"/>
      <c r="E35" s="101"/>
      <c r="H35" s="26"/>
      <c r="I35" s="26"/>
    </row>
    <row r="36" spans="1:9" s="24" customFormat="1" x14ac:dyDescent="0.2">
      <c r="D36" s="26"/>
      <c r="E36" s="101"/>
      <c r="H36" s="26"/>
      <c r="I36" s="26"/>
    </row>
    <row r="37" spans="1:9" s="24" customFormat="1" x14ac:dyDescent="0.2">
      <c r="D37" s="26"/>
      <c r="E37" s="104"/>
      <c r="H37" s="26"/>
      <c r="I37" s="26"/>
    </row>
    <row r="38" spans="1:9" s="24" customFormat="1" x14ac:dyDescent="0.2">
      <c r="D38" s="26"/>
      <c r="E38" s="101"/>
      <c r="H38" s="26"/>
      <c r="I38" s="26"/>
    </row>
    <row r="39" spans="1:9" s="24" customFormat="1" x14ac:dyDescent="0.2">
      <c r="A39" s="26"/>
      <c r="D39" s="26"/>
      <c r="E39" s="101"/>
      <c r="H39" s="26"/>
      <c r="I39" s="26"/>
    </row>
    <row r="40" spans="1:9" s="24" customFormat="1" x14ac:dyDescent="0.2">
      <c r="A40" s="26"/>
      <c r="H40" s="26"/>
      <c r="I40" s="26"/>
    </row>
    <row r="41" spans="1:9" s="24" customFormat="1" x14ac:dyDescent="0.2">
      <c r="A41" s="26"/>
      <c r="H41" s="26"/>
      <c r="I41" s="26"/>
    </row>
    <row r="42" spans="1:9" s="24" customFormat="1" x14ac:dyDescent="0.2">
      <c r="A42" s="26"/>
      <c r="C42" s="26"/>
      <c r="H42" s="26"/>
      <c r="I42" s="26"/>
    </row>
    <row r="43" spans="1:9" s="24" customFormat="1" x14ac:dyDescent="0.2">
      <c r="A43" s="26"/>
      <c r="C43" s="26"/>
      <c r="H43" s="26"/>
      <c r="I43" s="26"/>
    </row>
    <row r="44" spans="1:9" s="24" customFormat="1" x14ac:dyDescent="0.2">
      <c r="A44" s="26"/>
      <c r="C44" s="26"/>
      <c r="F44" s="108"/>
      <c r="G44" s="45"/>
      <c r="H44" s="26"/>
      <c r="I44" s="26"/>
    </row>
    <row r="45" spans="1:9" s="24" customFormat="1" x14ac:dyDescent="0.2">
      <c r="A45" s="26"/>
      <c r="C45" s="26"/>
      <c r="F45" s="26"/>
      <c r="G45" s="46"/>
      <c r="H45" s="26"/>
      <c r="I45" s="26"/>
    </row>
    <row r="46" spans="1:9" s="24" customFormat="1" x14ac:dyDescent="0.2">
      <c r="F46" s="26"/>
      <c r="G46" s="46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A48" s="26"/>
      <c r="C48" s="26"/>
      <c r="F48"/>
      <c r="G48" s="46"/>
      <c r="H48" s="26"/>
      <c r="I48" s="26"/>
    </row>
    <row r="49" spans="1:9" s="24" customFormat="1" x14ac:dyDescent="0.2">
      <c r="A49" s="26"/>
      <c r="C49" s="26"/>
      <c r="F49" s="26"/>
      <c r="G49" s="26"/>
      <c r="H49" s="26"/>
      <c r="I49" s="26"/>
    </row>
    <row r="50" spans="1:9" s="24" customFormat="1" x14ac:dyDescent="0.2">
      <c r="F50" s="26"/>
      <c r="G50" s="26"/>
      <c r="I50" s="26"/>
    </row>
    <row r="51" spans="1:9" s="24" customFormat="1" x14ac:dyDescent="0.2">
      <c r="A51" s="26"/>
      <c r="B51" s="26"/>
      <c r="C51"/>
      <c r="F51" s="26"/>
      <c r="G51" s="26"/>
      <c r="I51" s="26"/>
    </row>
    <row r="52" spans="1:9" s="24" customFormat="1" x14ac:dyDescent="0.2">
      <c r="A52" s="91"/>
      <c r="B52" s="26"/>
      <c r="C52"/>
      <c r="F52" s="26"/>
      <c r="G52" s="26"/>
      <c r="H52" s="26"/>
    </row>
    <row r="53" spans="1:9" s="24" customFormat="1" x14ac:dyDescent="0.2">
      <c r="A53" s="91"/>
      <c r="B53"/>
      <c r="C53"/>
      <c r="F53" s="26"/>
      <c r="G53" s="26"/>
      <c r="H53" s="26"/>
    </row>
    <row r="54" spans="1:9" s="26" customFormat="1" x14ac:dyDescent="0.2">
      <c r="A54" s="91"/>
      <c r="C54"/>
    </row>
    <row r="55" spans="1:9" s="26" customFormat="1" x14ac:dyDescent="0.2">
      <c r="A55" s="91"/>
      <c r="C55"/>
      <c r="H55" s="24"/>
    </row>
    <row r="56" spans="1:9" s="26" customFormat="1" x14ac:dyDescent="0.2">
      <c r="A56"/>
      <c r="B56"/>
      <c r="C56"/>
      <c r="G56" s="24"/>
      <c r="H56" s="24"/>
    </row>
    <row r="57" spans="1:9" s="26" customFormat="1" x14ac:dyDescent="0.2">
      <c r="A57"/>
      <c r="B57"/>
      <c r="C57"/>
      <c r="H57" s="24"/>
    </row>
    <row r="58" spans="1:9" s="24" customFormat="1" x14ac:dyDescent="0.2">
      <c r="A58" s="91"/>
      <c r="B58"/>
      <c r="C58"/>
      <c r="F58" s="26"/>
      <c r="G58" s="26"/>
      <c r="H58" s="26"/>
      <c r="I58" s="26"/>
    </row>
    <row r="59" spans="1:9" s="26" customFormat="1" x14ac:dyDescent="0.2">
      <c r="A59" s="91"/>
      <c r="B59"/>
      <c r="C59"/>
    </row>
    <row r="60" spans="1:9" s="26" customFormat="1" x14ac:dyDescent="0.2">
      <c r="A60" s="91"/>
      <c r="B60"/>
      <c r="C60"/>
      <c r="H60"/>
    </row>
    <row r="61" spans="1:9" s="26" customFormat="1" x14ac:dyDescent="0.2">
      <c r="A61" s="91"/>
      <c r="B61"/>
      <c r="C61"/>
      <c r="H61"/>
    </row>
    <row r="62" spans="1:9" s="24" customFormat="1" x14ac:dyDescent="0.2">
      <c r="A62" s="91"/>
      <c r="B62"/>
      <c r="C62"/>
      <c r="F62" s="26"/>
      <c r="G62" s="26"/>
      <c r="H62" s="26"/>
      <c r="I62" s="26"/>
    </row>
    <row r="63" spans="1:9" s="24" customFormat="1" x14ac:dyDescent="0.2">
      <c r="A63" s="91"/>
      <c r="B63"/>
      <c r="C63"/>
      <c r="D63" s="26"/>
      <c r="F63"/>
      <c r="G63" s="26"/>
      <c r="H63" s="26"/>
      <c r="I63" s="26"/>
    </row>
    <row r="64" spans="1:9" s="24" customFormat="1" x14ac:dyDescent="0.2">
      <c r="A64" s="91"/>
      <c r="B64"/>
      <c r="C64"/>
      <c r="D64" s="26"/>
      <c r="F64"/>
      <c r="G64" s="26"/>
      <c r="H64"/>
      <c r="I64" s="26"/>
    </row>
    <row r="65" spans="1:9" s="26" customFormat="1" x14ac:dyDescent="0.2">
      <c r="A65" s="91"/>
      <c r="B65"/>
      <c r="C65"/>
      <c r="G65"/>
      <c r="H65"/>
    </row>
    <row r="66" spans="1:9" s="26" customFormat="1" x14ac:dyDescent="0.2">
      <c r="A66" s="91"/>
      <c r="B66"/>
      <c r="C66"/>
      <c r="G66"/>
      <c r="H66"/>
      <c r="I66"/>
    </row>
    <row r="67" spans="1:9" x14ac:dyDescent="0.2">
      <c r="A67" s="91"/>
    </row>
    <row r="68" spans="1:9" x14ac:dyDescent="0.2">
      <c r="A68" s="91"/>
    </row>
    <row r="69" spans="1:9" s="26" customFormat="1" x14ac:dyDescent="0.2">
      <c r="A69" s="91"/>
      <c r="B69"/>
      <c r="C69"/>
      <c r="F69"/>
      <c r="G69"/>
      <c r="H69"/>
      <c r="I69"/>
    </row>
    <row r="70" spans="1:9" s="26" customFormat="1" x14ac:dyDescent="0.2">
      <c r="A70" s="91"/>
      <c r="B70"/>
      <c r="C70"/>
      <c r="F70"/>
      <c r="G70"/>
      <c r="H70"/>
      <c r="I70"/>
    </row>
    <row r="71" spans="1:9" x14ac:dyDescent="0.2">
      <c r="A71" s="91"/>
    </row>
    <row r="72" spans="1:9" x14ac:dyDescent="0.2">
      <c r="A72" s="91"/>
    </row>
    <row r="73" spans="1:9" x14ac:dyDescent="0.2">
      <c r="A73" s="91"/>
    </row>
    <row r="74" spans="1:9" x14ac:dyDescent="0.2">
      <c r="A74" s="91"/>
    </row>
  </sheetData>
  <pageMargins left="0.7" right="0.7" top="0.75" bottom="0.75" header="0.3" footer="0.3"/>
  <pageSetup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F681-5139-421F-8BF4-B89ABC4ED735}">
  <dimension ref="A1:K74"/>
  <sheetViews>
    <sheetView workbookViewId="0">
      <selection activeCell="A25" sqref="A25:C25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665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3277.24</v>
      </c>
      <c r="C3" s="51">
        <v>3277.24</v>
      </c>
      <c r="F3" s="33">
        <f>B3+B4</f>
        <v>4718.7699999999995</v>
      </c>
      <c r="G3" s="27">
        <f>C9+C10+C11+C12+C13+C14+C15+C16</f>
        <v>3538.2199999999993</v>
      </c>
      <c r="H3" s="27">
        <f>F3-G3</f>
        <v>1180.5500000000002</v>
      </c>
    </row>
    <row r="4" spans="1:11" x14ac:dyDescent="0.2">
      <c r="A4" s="26" t="s">
        <v>265</v>
      </c>
      <c r="B4" s="116">
        <v>1441.53</v>
      </c>
      <c r="C4" s="116">
        <v>1441.53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4718.7699999999995</v>
      </c>
      <c r="G6" s="27">
        <f>C19+C20+C21+C22+C23+C24+C25+C26</f>
        <v>1633.17</v>
      </c>
      <c r="H6" s="27">
        <f>F6-G6</f>
        <v>3085.5999999999995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2256.87</v>
      </c>
      <c r="D9" s="26"/>
      <c r="F9" s="26"/>
      <c r="H9" s="26"/>
      <c r="I9" s="26"/>
      <c r="J9" s="45"/>
    </row>
    <row r="10" spans="1:11" s="24" customFormat="1" x14ac:dyDescent="0.2">
      <c r="A10" s="20" t="s">
        <v>301</v>
      </c>
      <c r="B10" s="20" t="s">
        <v>399</v>
      </c>
      <c r="C10" s="55">
        <v>96.12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653</v>
      </c>
      <c r="B11" s="20" t="s">
        <v>657</v>
      </c>
      <c r="C11" s="21">
        <v>40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633</v>
      </c>
      <c r="B12" s="20" t="s">
        <v>518</v>
      </c>
      <c r="C12" s="21">
        <v>542.02</v>
      </c>
      <c r="D12" s="26"/>
      <c r="F12" s="25">
        <f>(H3+H6)/2</f>
        <v>2133.0749999999998</v>
      </c>
      <c r="G12" s="26"/>
      <c r="H12" s="26"/>
      <c r="I12" s="26"/>
      <c r="K12" s="45"/>
    </row>
    <row r="13" spans="1:11" s="24" customFormat="1" x14ac:dyDescent="0.2">
      <c r="A13" s="20" t="s">
        <v>626</v>
      </c>
      <c r="B13" s="20" t="s">
        <v>398</v>
      </c>
      <c r="C13" s="21">
        <v>148.03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650</v>
      </c>
      <c r="B14" s="20" t="s">
        <v>401</v>
      </c>
      <c r="C14" s="21">
        <v>14.18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628</v>
      </c>
      <c r="B15" s="20" t="s">
        <v>635</v>
      </c>
      <c r="C15" s="21">
        <v>434.01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651</v>
      </c>
      <c r="B16" s="20" t="s">
        <v>523</v>
      </c>
      <c r="C16" s="21">
        <v>6.99</v>
      </c>
      <c r="D16" s="26"/>
      <c r="F16" s="26"/>
      <c r="I16" s="26"/>
      <c r="J16" s="66"/>
      <c r="K16" s="45"/>
    </row>
    <row r="17" spans="1:11" s="24" customFormat="1" x14ac:dyDescent="0.2">
      <c r="A17" s="29"/>
      <c r="B17" s="29"/>
      <c r="C17" s="30"/>
      <c r="D17" s="90"/>
      <c r="F17" s="26"/>
      <c r="I17" s="26"/>
      <c r="J17" s="26"/>
      <c r="K17" s="26"/>
    </row>
    <row r="18" spans="1:11" s="24" customFormat="1" x14ac:dyDescent="0.2">
      <c r="A18" s="32" t="s">
        <v>13</v>
      </c>
      <c r="B18" s="25"/>
      <c r="C18" s="27"/>
      <c r="D18" s="26"/>
      <c r="F18" s="26"/>
      <c r="I18" s="26"/>
      <c r="J18" s="26"/>
      <c r="K18" s="26"/>
    </row>
    <row r="19" spans="1:11" s="24" customFormat="1" x14ac:dyDescent="0.2">
      <c r="A19" s="20" t="s">
        <v>660</v>
      </c>
      <c r="B19" s="20" t="s">
        <v>400</v>
      </c>
      <c r="C19" s="21">
        <v>98.74</v>
      </c>
      <c r="D19" s="26"/>
      <c r="F19" s="26"/>
      <c r="I19" s="26"/>
      <c r="J19" s="26"/>
      <c r="K19" s="26"/>
    </row>
    <row r="20" spans="1:11" s="24" customFormat="1" x14ac:dyDescent="0.2">
      <c r="A20" s="20" t="s">
        <v>598</v>
      </c>
      <c r="B20" s="20" t="s">
        <v>448</v>
      </c>
      <c r="C20" s="21">
        <v>483.15</v>
      </c>
      <c r="D20" s="26"/>
      <c r="F20" s="26"/>
      <c r="J20" s="41"/>
    </row>
    <row r="21" spans="1:11" s="24" customFormat="1" x14ac:dyDescent="0.2">
      <c r="A21" s="20" t="s">
        <v>267</v>
      </c>
      <c r="B21" s="20" t="s">
        <v>404</v>
      </c>
      <c r="C21" s="55">
        <v>80</v>
      </c>
      <c r="D21" s="26"/>
      <c r="F21" s="26"/>
    </row>
    <row r="22" spans="1:11" s="24" customFormat="1" x14ac:dyDescent="0.2">
      <c r="A22" s="20" t="s">
        <v>79</v>
      </c>
      <c r="B22" s="20" t="s">
        <v>390</v>
      </c>
      <c r="C22" s="21">
        <v>212.75</v>
      </c>
      <c r="D22" s="26"/>
      <c r="F22" s="26"/>
      <c r="G22" s="111"/>
    </row>
    <row r="23" spans="1:11" s="24" customFormat="1" x14ac:dyDescent="0.2">
      <c r="A23" s="20" t="s">
        <v>302</v>
      </c>
      <c r="B23" s="20" t="s">
        <v>388</v>
      </c>
      <c r="C23" s="21">
        <v>277.54000000000002</v>
      </c>
      <c r="D23" s="26"/>
      <c r="F23" s="26"/>
      <c r="G23" s="111"/>
    </row>
    <row r="24" spans="1:11" s="24" customFormat="1" x14ac:dyDescent="0.2">
      <c r="A24" s="20" t="s">
        <v>601</v>
      </c>
      <c r="B24" s="20" t="s">
        <v>395</v>
      </c>
      <c r="C24" s="21">
        <v>17.510000000000002</v>
      </c>
      <c r="D24" s="26"/>
      <c r="F24" s="26"/>
      <c r="I24" s="102"/>
    </row>
    <row r="25" spans="1:11" s="24" customFormat="1" x14ac:dyDescent="0.2">
      <c r="A25" s="20" t="s">
        <v>661</v>
      </c>
      <c r="B25" s="20" t="s">
        <v>664</v>
      </c>
      <c r="C25" s="21">
        <v>342.81</v>
      </c>
      <c r="D25" s="26"/>
      <c r="F25" s="26"/>
      <c r="I25" s="102"/>
    </row>
    <row r="26" spans="1:11" s="24" customFormat="1" x14ac:dyDescent="0.2">
      <c r="A26" s="20" t="s">
        <v>666</v>
      </c>
      <c r="B26" s="20" t="s">
        <v>664</v>
      </c>
      <c r="C26" s="21">
        <v>120.67</v>
      </c>
      <c r="D26" s="26"/>
      <c r="F26" s="26"/>
      <c r="I26" s="102"/>
    </row>
    <row r="27" spans="1:11" s="24" customFormat="1" x14ac:dyDescent="0.2">
      <c r="A27" s="14"/>
      <c r="B27" s="14"/>
      <c r="C27" s="14"/>
      <c r="D27" s="26"/>
      <c r="F27" s="26"/>
      <c r="I27" s="102"/>
    </row>
    <row r="28" spans="1:11" s="24" customFormat="1" x14ac:dyDescent="0.2">
      <c r="A28"/>
      <c r="B28"/>
      <c r="C28"/>
      <c r="F28" s="26"/>
      <c r="I28" s="102"/>
    </row>
    <row r="29" spans="1:11" s="24" customFormat="1" x14ac:dyDescent="0.2">
      <c r="C29"/>
      <c r="D29" s="26"/>
      <c r="F29" s="26"/>
      <c r="I29" s="52"/>
    </row>
    <row r="30" spans="1:11" s="24" customFormat="1" x14ac:dyDescent="0.2">
      <c r="B30" s="24" t="s">
        <v>636</v>
      </c>
      <c r="C30" s="24" t="s">
        <v>637</v>
      </c>
      <c r="D30" s="26"/>
      <c r="I30" s="52"/>
    </row>
    <row r="31" spans="1:11" s="24" customFormat="1" x14ac:dyDescent="0.2">
      <c r="A31" s="20" t="s">
        <v>600</v>
      </c>
      <c r="B31" s="109">
        <v>4025</v>
      </c>
      <c r="C31" s="21">
        <v>69</v>
      </c>
      <c r="D31" s="26"/>
      <c r="H31" s="26"/>
      <c r="I31" s="52"/>
    </row>
    <row r="32" spans="1:11" s="24" customFormat="1" x14ac:dyDescent="0.2">
      <c r="D32" s="26"/>
      <c r="G32" s="110"/>
      <c r="H32" s="26"/>
      <c r="I32" s="52"/>
    </row>
    <row r="33" spans="1:9" s="24" customFormat="1" x14ac:dyDescent="0.2">
      <c r="D33" s="26"/>
      <c r="H33" s="26"/>
      <c r="I33" s="52"/>
    </row>
    <row r="34" spans="1:9" s="24" customFormat="1" x14ac:dyDescent="0.2">
      <c r="D34" s="26"/>
      <c r="E34" s="101"/>
      <c r="H34" s="26"/>
      <c r="I34" s="52"/>
    </row>
    <row r="35" spans="1:9" s="24" customFormat="1" x14ac:dyDescent="0.2">
      <c r="D35" s="26"/>
      <c r="E35" s="101"/>
      <c r="H35" s="26"/>
      <c r="I35" s="26"/>
    </row>
    <row r="36" spans="1:9" s="24" customFormat="1" x14ac:dyDescent="0.2">
      <c r="D36" s="26"/>
      <c r="E36" s="101"/>
      <c r="H36" s="26"/>
      <c r="I36" s="26"/>
    </row>
    <row r="37" spans="1:9" s="24" customFormat="1" x14ac:dyDescent="0.2">
      <c r="D37" s="26"/>
      <c r="E37" s="104"/>
      <c r="H37" s="26"/>
      <c r="I37" s="26"/>
    </row>
    <row r="38" spans="1:9" s="24" customFormat="1" x14ac:dyDescent="0.2">
      <c r="D38" s="26"/>
      <c r="E38" s="101"/>
      <c r="H38" s="26"/>
      <c r="I38" s="26"/>
    </row>
    <row r="39" spans="1:9" s="24" customFormat="1" x14ac:dyDescent="0.2">
      <c r="A39" s="26"/>
      <c r="D39" s="26"/>
      <c r="E39" s="101"/>
      <c r="H39" s="26"/>
      <c r="I39" s="26"/>
    </row>
    <row r="40" spans="1:9" s="24" customFormat="1" x14ac:dyDescent="0.2">
      <c r="A40" s="26"/>
      <c r="H40" s="26"/>
      <c r="I40" s="26"/>
    </row>
    <row r="41" spans="1:9" s="24" customFormat="1" x14ac:dyDescent="0.2">
      <c r="A41" s="26"/>
      <c r="H41" s="26"/>
      <c r="I41" s="26"/>
    </row>
    <row r="42" spans="1:9" s="24" customFormat="1" x14ac:dyDescent="0.2">
      <c r="A42" s="26"/>
      <c r="C42" s="26"/>
      <c r="H42" s="26"/>
      <c r="I42" s="26"/>
    </row>
    <row r="43" spans="1:9" s="24" customFormat="1" x14ac:dyDescent="0.2">
      <c r="A43" s="26"/>
      <c r="C43" s="26"/>
      <c r="H43" s="26"/>
      <c r="I43" s="26"/>
    </row>
    <row r="44" spans="1:9" s="24" customFormat="1" x14ac:dyDescent="0.2">
      <c r="A44" s="26"/>
      <c r="C44" s="26"/>
      <c r="F44" s="108"/>
      <c r="G44" s="45"/>
      <c r="H44" s="26"/>
      <c r="I44" s="26"/>
    </row>
    <row r="45" spans="1:9" s="24" customFormat="1" x14ac:dyDescent="0.2">
      <c r="A45" s="26"/>
      <c r="C45" s="26"/>
      <c r="F45" s="26"/>
      <c r="G45" s="46"/>
      <c r="H45" s="26"/>
      <c r="I45" s="26"/>
    </row>
    <row r="46" spans="1:9" s="24" customFormat="1" x14ac:dyDescent="0.2">
      <c r="F46" s="26"/>
      <c r="G46" s="46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A48" s="26"/>
      <c r="C48" s="26"/>
      <c r="F48"/>
      <c r="G48" s="46"/>
      <c r="H48" s="26"/>
      <c r="I48" s="26"/>
    </row>
    <row r="49" spans="1:9" s="24" customFormat="1" x14ac:dyDescent="0.2">
      <c r="A49" s="26"/>
      <c r="C49" s="26"/>
      <c r="F49" s="26"/>
      <c r="G49" s="26"/>
      <c r="H49" s="26"/>
      <c r="I49" s="26"/>
    </row>
    <row r="50" spans="1:9" s="24" customFormat="1" x14ac:dyDescent="0.2">
      <c r="F50" s="26"/>
      <c r="G50" s="26"/>
      <c r="I50" s="26"/>
    </row>
    <row r="51" spans="1:9" s="24" customFormat="1" x14ac:dyDescent="0.2">
      <c r="A51" s="26"/>
      <c r="B51" s="26"/>
      <c r="C51"/>
      <c r="F51" s="26"/>
      <c r="G51" s="26"/>
      <c r="I51" s="26"/>
    </row>
    <row r="52" spans="1:9" s="24" customFormat="1" x14ac:dyDescent="0.2">
      <c r="A52" s="91"/>
      <c r="B52" s="26"/>
      <c r="C52"/>
      <c r="F52" s="26"/>
      <c r="G52" s="26"/>
      <c r="H52" s="26"/>
    </row>
    <row r="53" spans="1:9" s="24" customFormat="1" x14ac:dyDescent="0.2">
      <c r="A53" s="91"/>
      <c r="B53"/>
      <c r="C53"/>
      <c r="F53" s="26"/>
      <c r="G53" s="26"/>
      <c r="H53" s="26"/>
    </row>
    <row r="54" spans="1:9" s="26" customFormat="1" x14ac:dyDescent="0.2">
      <c r="A54" s="91"/>
      <c r="C54"/>
    </row>
    <row r="55" spans="1:9" s="26" customFormat="1" x14ac:dyDescent="0.2">
      <c r="A55" s="91"/>
      <c r="C55"/>
      <c r="H55" s="24"/>
    </row>
    <row r="56" spans="1:9" s="26" customFormat="1" x14ac:dyDescent="0.2">
      <c r="A56"/>
      <c r="B56"/>
      <c r="C56"/>
      <c r="G56" s="24"/>
      <c r="H56" s="24"/>
    </row>
    <row r="57" spans="1:9" s="26" customFormat="1" x14ac:dyDescent="0.2">
      <c r="A57"/>
      <c r="B57"/>
      <c r="C57"/>
      <c r="H57" s="24"/>
    </row>
    <row r="58" spans="1:9" s="24" customFormat="1" x14ac:dyDescent="0.2">
      <c r="A58" s="91"/>
      <c r="B58"/>
      <c r="C58"/>
      <c r="F58" s="26"/>
      <c r="G58" s="26"/>
      <c r="H58" s="26"/>
      <c r="I58" s="26"/>
    </row>
    <row r="59" spans="1:9" s="26" customFormat="1" x14ac:dyDescent="0.2">
      <c r="A59" s="91"/>
      <c r="B59"/>
      <c r="C59"/>
    </row>
    <row r="60" spans="1:9" s="26" customFormat="1" x14ac:dyDescent="0.2">
      <c r="A60" s="91"/>
      <c r="B60"/>
      <c r="C60"/>
      <c r="H60"/>
    </row>
    <row r="61" spans="1:9" s="26" customFormat="1" x14ac:dyDescent="0.2">
      <c r="A61" s="91"/>
      <c r="B61"/>
      <c r="C61"/>
      <c r="H61"/>
    </row>
    <row r="62" spans="1:9" s="24" customFormat="1" x14ac:dyDescent="0.2">
      <c r="A62" s="91"/>
      <c r="B62"/>
      <c r="C62"/>
      <c r="F62" s="26"/>
      <c r="G62" s="26"/>
      <c r="H62" s="26"/>
      <c r="I62" s="26"/>
    </row>
    <row r="63" spans="1:9" s="24" customFormat="1" x14ac:dyDescent="0.2">
      <c r="A63" s="91"/>
      <c r="B63"/>
      <c r="C63"/>
      <c r="D63" s="26"/>
      <c r="F63"/>
      <c r="G63" s="26"/>
      <c r="H63" s="26"/>
      <c r="I63" s="26"/>
    </row>
    <row r="64" spans="1:9" s="24" customFormat="1" x14ac:dyDescent="0.2">
      <c r="A64" s="91"/>
      <c r="B64"/>
      <c r="C64"/>
      <c r="D64" s="26"/>
      <c r="F64"/>
      <c r="G64" s="26"/>
      <c r="H64"/>
      <c r="I64" s="26"/>
    </row>
    <row r="65" spans="1:9" s="26" customFormat="1" x14ac:dyDescent="0.2">
      <c r="A65" s="91"/>
      <c r="B65"/>
      <c r="C65"/>
      <c r="G65"/>
      <c r="H65"/>
    </row>
    <row r="66" spans="1:9" s="26" customFormat="1" x14ac:dyDescent="0.2">
      <c r="A66" s="91"/>
      <c r="B66"/>
      <c r="C66"/>
      <c r="G66"/>
      <c r="H66"/>
      <c r="I66"/>
    </row>
    <row r="67" spans="1:9" x14ac:dyDescent="0.2">
      <c r="A67" s="91"/>
    </row>
    <row r="68" spans="1:9" x14ac:dyDescent="0.2">
      <c r="A68" s="91"/>
    </row>
    <row r="69" spans="1:9" s="26" customFormat="1" x14ac:dyDescent="0.2">
      <c r="A69" s="91"/>
      <c r="B69"/>
      <c r="C69"/>
      <c r="F69"/>
      <c r="G69"/>
      <c r="H69"/>
      <c r="I69"/>
    </row>
    <row r="70" spans="1:9" s="26" customFormat="1" x14ac:dyDescent="0.2">
      <c r="A70" s="91"/>
      <c r="B70"/>
      <c r="C70"/>
      <c r="F70"/>
      <c r="G70"/>
      <c r="H70"/>
      <c r="I70"/>
    </row>
    <row r="71" spans="1:9" x14ac:dyDescent="0.2">
      <c r="A71" s="91"/>
    </row>
    <row r="72" spans="1:9" x14ac:dyDescent="0.2">
      <c r="A72" s="91"/>
    </row>
    <row r="73" spans="1:9" x14ac:dyDescent="0.2">
      <c r="A73" s="91"/>
    </row>
    <row r="74" spans="1:9" x14ac:dyDescent="0.2">
      <c r="A74" s="91"/>
    </row>
  </sheetData>
  <pageMargins left="0.7" right="0.7" top="0.75" bottom="0.75" header="0.3" footer="0.3"/>
  <pageSetup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3BD5-8384-4B41-B64A-CD8466674C4D}">
  <dimension ref="A1:K87"/>
  <sheetViews>
    <sheetView topLeftCell="A43" workbookViewId="0">
      <selection activeCell="A25" sqref="A25:C25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7.1640625" bestFit="1" customWidth="1"/>
    <col min="4" max="4" width="17.5" bestFit="1" customWidth="1"/>
    <col min="5" max="5" width="8.1640625" customWidth="1"/>
    <col min="6" max="6" width="35.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663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3277.24</v>
      </c>
      <c r="C3" s="51">
        <v>3277.24</v>
      </c>
      <c r="F3" s="33">
        <f>B3+B4</f>
        <v>4759.74</v>
      </c>
      <c r="G3" s="27">
        <f>C9+C10+C11+C12+C13+C14+C15+C16</f>
        <v>3538.2199999999993</v>
      </c>
      <c r="H3" s="27">
        <f>F3-G3</f>
        <v>1221.5200000000004</v>
      </c>
    </row>
    <row r="4" spans="1:11" x14ac:dyDescent="0.2">
      <c r="A4" s="26" t="s">
        <v>265</v>
      </c>
      <c r="B4">
        <v>1482.5</v>
      </c>
      <c r="C4">
        <v>1482.5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4759.74</v>
      </c>
      <c r="G6" s="27">
        <f>C19+C20+C21+C22+C23+C24+C25</f>
        <v>1605.59</v>
      </c>
      <c r="H6" s="27">
        <f>F6-G6</f>
        <v>3154.1499999999996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2256.87</v>
      </c>
      <c r="D9" s="26"/>
      <c r="F9" s="26"/>
      <c r="H9" s="26"/>
      <c r="I9" s="26"/>
      <c r="J9" s="45"/>
    </row>
    <row r="10" spans="1:11" s="24" customFormat="1" x14ac:dyDescent="0.2">
      <c r="A10" s="20" t="s">
        <v>301</v>
      </c>
      <c r="B10" s="20" t="s">
        <v>399</v>
      </c>
      <c r="C10" s="55">
        <v>96.12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653</v>
      </c>
      <c r="B11" s="20" t="s">
        <v>657</v>
      </c>
      <c r="C11" s="21">
        <v>40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633</v>
      </c>
      <c r="B12" s="20" t="s">
        <v>518</v>
      </c>
      <c r="C12" s="21">
        <v>542.02</v>
      </c>
      <c r="D12" s="26"/>
      <c r="F12" s="25">
        <f>(H3+H6)/2</f>
        <v>2187.835</v>
      </c>
      <c r="G12" s="26"/>
      <c r="H12" s="26"/>
      <c r="I12" s="26"/>
      <c r="K12" s="45"/>
    </row>
    <row r="13" spans="1:11" s="24" customFormat="1" x14ac:dyDescent="0.2">
      <c r="A13" s="20" t="s">
        <v>626</v>
      </c>
      <c r="B13" s="20" t="s">
        <v>398</v>
      </c>
      <c r="C13" s="21">
        <v>148.03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650</v>
      </c>
      <c r="B14" s="20" t="s">
        <v>401</v>
      </c>
      <c r="C14" s="21">
        <v>14.18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628</v>
      </c>
      <c r="B15" s="20" t="s">
        <v>635</v>
      </c>
      <c r="C15" s="21">
        <v>434.01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651</v>
      </c>
      <c r="B16" s="20" t="s">
        <v>523</v>
      </c>
      <c r="C16" s="21">
        <v>6.99</v>
      </c>
      <c r="D16" s="26"/>
      <c r="F16" s="26"/>
      <c r="I16" s="26"/>
      <c r="J16" s="66"/>
      <c r="K16" s="45"/>
    </row>
    <row r="17" spans="1:11" s="24" customFormat="1" x14ac:dyDescent="0.2">
      <c r="A17" s="29"/>
      <c r="B17" s="29"/>
      <c r="C17" s="30"/>
      <c r="D17" s="90"/>
      <c r="F17" s="26"/>
      <c r="I17" s="26"/>
      <c r="J17" s="26"/>
      <c r="K17" s="26"/>
    </row>
    <row r="18" spans="1:11" s="24" customFormat="1" x14ac:dyDescent="0.2">
      <c r="A18" s="32" t="s">
        <v>13</v>
      </c>
      <c r="B18" s="25"/>
      <c r="C18" s="27"/>
      <c r="D18" s="26"/>
      <c r="F18" s="26"/>
      <c r="I18" s="26"/>
      <c r="J18" s="26"/>
      <c r="K18" s="26"/>
    </row>
    <row r="19" spans="1:11" s="24" customFormat="1" x14ac:dyDescent="0.2">
      <c r="A19" s="20" t="s">
        <v>660</v>
      </c>
      <c r="B19" s="20" t="s">
        <v>400</v>
      </c>
      <c r="C19" s="21">
        <v>98.74</v>
      </c>
      <c r="D19" s="26"/>
      <c r="F19" s="26"/>
      <c r="I19" s="26"/>
      <c r="J19" s="26"/>
      <c r="K19" s="26"/>
    </row>
    <row r="20" spans="1:11" s="24" customFormat="1" x14ac:dyDescent="0.2">
      <c r="A20" s="20" t="s">
        <v>598</v>
      </c>
      <c r="B20" s="20" t="s">
        <v>448</v>
      </c>
      <c r="C20" s="21">
        <v>483.15</v>
      </c>
      <c r="D20" s="26"/>
      <c r="F20" s="26"/>
      <c r="J20" s="41"/>
    </row>
    <row r="21" spans="1:11" s="24" customFormat="1" x14ac:dyDescent="0.2">
      <c r="A21" s="20" t="s">
        <v>267</v>
      </c>
      <c r="B21" s="20" t="s">
        <v>404</v>
      </c>
      <c r="C21" s="55">
        <v>194.24</v>
      </c>
      <c r="D21" s="26"/>
      <c r="F21" s="26"/>
    </row>
    <row r="22" spans="1:11" s="24" customFormat="1" x14ac:dyDescent="0.2">
      <c r="A22" s="20" t="s">
        <v>79</v>
      </c>
      <c r="B22" s="20" t="s">
        <v>390</v>
      </c>
      <c r="C22" s="21">
        <v>212.75</v>
      </c>
      <c r="D22" s="26"/>
      <c r="F22" s="26"/>
    </row>
    <row r="23" spans="1:11" s="24" customFormat="1" x14ac:dyDescent="0.2">
      <c r="A23" s="20" t="s">
        <v>302</v>
      </c>
      <c r="B23" s="20" t="s">
        <v>388</v>
      </c>
      <c r="C23" s="21">
        <v>256.39</v>
      </c>
      <c r="D23" s="26"/>
      <c r="F23" s="26"/>
      <c r="G23" s="111"/>
    </row>
    <row r="24" spans="1:11" s="24" customFormat="1" x14ac:dyDescent="0.2">
      <c r="A24" s="20" t="s">
        <v>601</v>
      </c>
      <c r="B24" s="20" t="s">
        <v>395</v>
      </c>
      <c r="C24" s="21">
        <v>17.510000000000002</v>
      </c>
      <c r="D24" s="26"/>
      <c r="F24" s="26"/>
      <c r="I24" s="102"/>
    </row>
    <row r="25" spans="1:11" s="24" customFormat="1" x14ac:dyDescent="0.2">
      <c r="A25" s="20" t="s">
        <v>661</v>
      </c>
      <c r="B25" s="20" t="s">
        <v>664</v>
      </c>
      <c r="C25" s="21">
        <v>342.81</v>
      </c>
      <c r="D25" s="26"/>
      <c r="F25" s="26"/>
      <c r="I25" s="102"/>
    </row>
    <row r="26" spans="1:11" s="24" customFormat="1" x14ac:dyDescent="0.2">
      <c r="A26" s="14"/>
      <c r="B26" s="14"/>
      <c r="C26" s="14"/>
      <c r="D26" s="26"/>
      <c r="F26" s="26"/>
      <c r="I26" s="102"/>
    </row>
    <row r="27" spans="1:11" s="24" customFormat="1" x14ac:dyDescent="0.2">
      <c r="A27"/>
      <c r="B27"/>
      <c r="C27"/>
      <c r="D27" s="26"/>
      <c r="F27" s="26"/>
      <c r="I27" s="102"/>
    </row>
    <row r="28" spans="1:11" s="24" customFormat="1" x14ac:dyDescent="0.2">
      <c r="C28"/>
      <c r="F28" s="26"/>
      <c r="I28" s="102"/>
    </row>
    <row r="29" spans="1:11" s="24" customFormat="1" x14ac:dyDescent="0.2">
      <c r="B29" s="24" t="s">
        <v>636</v>
      </c>
      <c r="C29" s="24" t="s">
        <v>637</v>
      </c>
      <c r="D29" s="26"/>
      <c r="F29" s="26"/>
      <c r="I29" s="52"/>
    </row>
    <row r="30" spans="1:11" s="24" customFormat="1" x14ac:dyDescent="0.2">
      <c r="A30" s="20" t="s">
        <v>600</v>
      </c>
      <c r="B30" s="109">
        <v>4025</v>
      </c>
      <c r="C30" s="21">
        <v>69</v>
      </c>
      <c r="D30" s="26"/>
      <c r="I30" s="52"/>
    </row>
    <row r="31" spans="1:11" s="24" customFormat="1" x14ac:dyDescent="0.2">
      <c r="D31" s="26"/>
      <c r="H31" s="26"/>
      <c r="I31" s="52"/>
    </row>
    <row r="32" spans="1:11" s="24" customFormat="1" x14ac:dyDescent="0.2">
      <c r="D32" s="26"/>
      <c r="G32" s="110"/>
      <c r="H32" s="26"/>
      <c r="I32" s="52"/>
    </row>
    <row r="33" spans="1:9" s="24" customFormat="1" x14ac:dyDescent="0.2">
      <c r="D33" s="26"/>
      <c r="H33" s="26"/>
      <c r="I33" s="52"/>
    </row>
    <row r="34" spans="1:9" s="24" customFormat="1" x14ac:dyDescent="0.2">
      <c r="A34" s="24" t="s">
        <v>667</v>
      </c>
      <c r="C34" s="24" t="s">
        <v>668</v>
      </c>
      <c r="D34" s="26"/>
      <c r="E34" s="101"/>
      <c r="F34" s="24" t="s">
        <v>669</v>
      </c>
      <c r="H34" s="26"/>
      <c r="I34" s="52"/>
    </row>
    <row r="35" spans="1:9" s="24" customFormat="1" x14ac:dyDescent="0.2">
      <c r="A35" s="113">
        <v>43500</v>
      </c>
      <c r="C35" s="108">
        <v>2821.98</v>
      </c>
      <c r="D35" s="26"/>
      <c r="E35" s="101"/>
      <c r="F35" s="24">
        <v>631.98</v>
      </c>
      <c r="H35" s="26"/>
      <c r="I35" s="26"/>
    </row>
    <row r="36" spans="1:9" s="24" customFormat="1" x14ac:dyDescent="0.2">
      <c r="A36" s="112">
        <f>A35-70</f>
        <v>43430</v>
      </c>
      <c r="C36" s="111">
        <f>C35+740</f>
        <v>3561.98</v>
      </c>
      <c r="D36" s="26"/>
      <c r="E36" s="101"/>
      <c r="F36" s="24">
        <f>F35+740+342</f>
        <v>1713.98</v>
      </c>
      <c r="H36" s="26"/>
      <c r="I36" s="26"/>
    </row>
    <row r="37" spans="1:9" s="24" customFormat="1" x14ac:dyDescent="0.2">
      <c r="A37" s="112">
        <f t="shared" ref="A37:A38" si="0">A36-70</f>
        <v>43360</v>
      </c>
      <c r="C37" s="111">
        <f t="shared" ref="C37:C86" si="1">C36+740</f>
        <v>4301.9799999999996</v>
      </c>
      <c r="D37" s="26"/>
      <c r="E37" s="104"/>
      <c r="F37" s="24">
        <f t="shared" ref="F37:F86" si="2">F36+740+342</f>
        <v>2795.98</v>
      </c>
      <c r="H37" s="26"/>
      <c r="I37" s="26"/>
    </row>
    <row r="38" spans="1:9" s="24" customFormat="1" x14ac:dyDescent="0.2">
      <c r="A38" s="112">
        <f t="shared" si="0"/>
        <v>43290</v>
      </c>
      <c r="C38" s="111">
        <f t="shared" si="1"/>
        <v>5041.9799999999996</v>
      </c>
      <c r="D38" s="26"/>
      <c r="E38" s="101"/>
      <c r="F38" s="24">
        <f t="shared" si="2"/>
        <v>3877.98</v>
      </c>
      <c r="H38" s="26"/>
      <c r="I38" s="26"/>
    </row>
    <row r="39" spans="1:9" s="24" customFormat="1" x14ac:dyDescent="0.2">
      <c r="A39" s="112">
        <f>A38-70</f>
        <v>43220</v>
      </c>
      <c r="C39" s="111">
        <f t="shared" si="1"/>
        <v>5781.98</v>
      </c>
      <c r="D39" s="26"/>
      <c r="E39" s="101"/>
      <c r="F39" s="24">
        <f t="shared" si="2"/>
        <v>4959.9799999999996</v>
      </c>
      <c r="H39" s="26"/>
      <c r="I39" s="26"/>
    </row>
    <row r="40" spans="1:9" s="24" customFormat="1" x14ac:dyDescent="0.2">
      <c r="A40" s="112">
        <f t="shared" ref="A40:A86" si="3">A39-70</f>
        <v>43150</v>
      </c>
      <c r="C40" s="111">
        <f t="shared" si="1"/>
        <v>6521.98</v>
      </c>
      <c r="F40" s="24">
        <f t="shared" si="2"/>
        <v>6041.98</v>
      </c>
      <c r="H40" s="26"/>
      <c r="I40" s="26"/>
    </row>
    <row r="41" spans="1:9" s="24" customFormat="1" x14ac:dyDescent="0.2">
      <c r="A41" s="112">
        <f t="shared" si="3"/>
        <v>43080</v>
      </c>
      <c r="C41" s="111">
        <f t="shared" si="1"/>
        <v>7261.98</v>
      </c>
      <c r="F41" s="24">
        <f t="shared" si="2"/>
        <v>7123.98</v>
      </c>
      <c r="H41" s="26"/>
      <c r="I41" s="26"/>
    </row>
    <row r="42" spans="1:9" s="24" customFormat="1" x14ac:dyDescent="0.2">
      <c r="A42" s="112">
        <f t="shared" si="3"/>
        <v>43010</v>
      </c>
      <c r="C42" s="111">
        <f t="shared" si="1"/>
        <v>8001.98</v>
      </c>
      <c r="F42" s="24">
        <f t="shared" si="2"/>
        <v>8205.98</v>
      </c>
      <c r="H42" s="26"/>
      <c r="I42" s="26"/>
    </row>
    <row r="43" spans="1:9" s="24" customFormat="1" x14ac:dyDescent="0.2">
      <c r="A43" s="112">
        <f t="shared" si="3"/>
        <v>42940</v>
      </c>
      <c r="C43" s="111">
        <f t="shared" si="1"/>
        <v>8741.98</v>
      </c>
      <c r="F43" s="24">
        <f t="shared" si="2"/>
        <v>9287.98</v>
      </c>
      <c r="H43" s="26"/>
      <c r="I43" s="26"/>
    </row>
    <row r="44" spans="1:9" s="24" customFormat="1" x14ac:dyDescent="0.2">
      <c r="A44" s="112">
        <f t="shared" si="3"/>
        <v>42870</v>
      </c>
      <c r="C44" s="111">
        <f t="shared" si="1"/>
        <v>9481.98</v>
      </c>
      <c r="F44" s="24">
        <f t="shared" si="2"/>
        <v>10369.98</v>
      </c>
      <c r="G44" s="45"/>
      <c r="H44" s="26"/>
      <c r="I44" s="26"/>
    </row>
    <row r="45" spans="1:9" s="24" customFormat="1" x14ac:dyDescent="0.2">
      <c r="A45" s="112">
        <f t="shared" si="3"/>
        <v>42800</v>
      </c>
      <c r="C45" s="111">
        <f t="shared" si="1"/>
        <v>10221.98</v>
      </c>
      <c r="F45" s="24">
        <f t="shared" si="2"/>
        <v>11451.98</v>
      </c>
      <c r="G45" s="46"/>
      <c r="H45" s="26"/>
      <c r="I45" s="26"/>
    </row>
    <row r="46" spans="1:9" s="24" customFormat="1" x14ac:dyDescent="0.2">
      <c r="A46" s="112">
        <f t="shared" si="3"/>
        <v>42730</v>
      </c>
      <c r="C46" s="111">
        <f t="shared" si="1"/>
        <v>10961.98</v>
      </c>
      <c r="F46" s="24">
        <f t="shared" si="2"/>
        <v>12533.98</v>
      </c>
      <c r="G46" s="46"/>
      <c r="H46" s="26"/>
      <c r="I46" s="26"/>
    </row>
    <row r="47" spans="1:9" s="24" customFormat="1" x14ac:dyDescent="0.2">
      <c r="A47" s="112">
        <f t="shared" si="3"/>
        <v>42660</v>
      </c>
      <c r="C47" s="111">
        <f t="shared" si="1"/>
        <v>11701.98</v>
      </c>
      <c r="F47" s="24">
        <f>F46+740+342</f>
        <v>13615.98</v>
      </c>
      <c r="G47" s="46"/>
      <c r="H47" s="26"/>
      <c r="I47" s="26"/>
    </row>
    <row r="48" spans="1:9" s="24" customFormat="1" x14ac:dyDescent="0.2">
      <c r="A48" s="112">
        <f t="shared" si="3"/>
        <v>42590</v>
      </c>
      <c r="C48" s="111">
        <f t="shared" si="1"/>
        <v>12441.98</v>
      </c>
      <c r="F48" s="24">
        <f t="shared" si="2"/>
        <v>14697.98</v>
      </c>
      <c r="G48" s="46"/>
      <c r="H48" s="26"/>
      <c r="I48" s="26"/>
    </row>
    <row r="49" spans="1:9" s="24" customFormat="1" x14ac:dyDescent="0.2">
      <c r="A49" s="112">
        <f t="shared" si="3"/>
        <v>42520</v>
      </c>
      <c r="C49" s="111">
        <f t="shared" si="1"/>
        <v>13181.98</v>
      </c>
      <c r="F49" s="24">
        <f t="shared" si="2"/>
        <v>15779.98</v>
      </c>
      <c r="G49" s="26"/>
      <c r="H49" s="26"/>
      <c r="I49" s="26"/>
    </row>
    <row r="50" spans="1:9" s="24" customFormat="1" x14ac:dyDescent="0.2">
      <c r="A50" s="112">
        <f t="shared" si="3"/>
        <v>42450</v>
      </c>
      <c r="B50" s="26"/>
      <c r="C50" s="111">
        <f t="shared" si="1"/>
        <v>13921.98</v>
      </c>
      <c r="F50" s="24">
        <f t="shared" si="2"/>
        <v>16861.98</v>
      </c>
      <c r="G50" s="26"/>
      <c r="I50" s="26"/>
    </row>
    <row r="51" spans="1:9" s="24" customFormat="1" x14ac:dyDescent="0.2">
      <c r="A51" s="112">
        <f t="shared" si="3"/>
        <v>42380</v>
      </c>
      <c r="B51" s="26"/>
      <c r="C51" s="111">
        <f t="shared" si="1"/>
        <v>14661.98</v>
      </c>
      <c r="F51" s="24">
        <f t="shared" si="2"/>
        <v>17943.98</v>
      </c>
      <c r="G51" s="26"/>
      <c r="I51" s="26"/>
    </row>
    <row r="52" spans="1:9" s="24" customFormat="1" x14ac:dyDescent="0.2">
      <c r="A52" s="112">
        <f t="shared" si="3"/>
        <v>42310</v>
      </c>
      <c r="B52"/>
      <c r="C52" s="111">
        <f t="shared" si="1"/>
        <v>15401.98</v>
      </c>
      <c r="F52" s="24">
        <f t="shared" si="2"/>
        <v>19025.98</v>
      </c>
      <c r="G52" s="26"/>
      <c r="H52" s="26"/>
    </row>
    <row r="53" spans="1:9" s="24" customFormat="1" x14ac:dyDescent="0.2">
      <c r="A53" s="112">
        <f t="shared" si="3"/>
        <v>42240</v>
      </c>
      <c r="B53" s="26"/>
      <c r="C53" s="111">
        <f t="shared" si="1"/>
        <v>16141.98</v>
      </c>
      <c r="F53" s="24">
        <f t="shared" si="2"/>
        <v>20107.98</v>
      </c>
      <c r="G53" s="26"/>
      <c r="H53" s="26"/>
    </row>
    <row r="54" spans="1:9" s="26" customFormat="1" x14ac:dyDescent="0.2">
      <c r="A54" s="112">
        <f t="shared" si="3"/>
        <v>42170</v>
      </c>
      <c r="C54" s="111">
        <f t="shared" si="1"/>
        <v>16881.98</v>
      </c>
      <c r="F54" s="24">
        <f t="shared" si="2"/>
        <v>21189.98</v>
      </c>
    </row>
    <row r="55" spans="1:9" s="26" customFormat="1" x14ac:dyDescent="0.2">
      <c r="A55" s="112">
        <f t="shared" si="3"/>
        <v>42100</v>
      </c>
      <c r="B55"/>
      <c r="C55" s="111">
        <f t="shared" si="1"/>
        <v>17621.98</v>
      </c>
      <c r="F55" s="24">
        <f t="shared" si="2"/>
        <v>22271.98</v>
      </c>
      <c r="H55" s="24"/>
    </row>
    <row r="56" spans="1:9" s="26" customFormat="1" x14ac:dyDescent="0.2">
      <c r="A56" s="112">
        <f t="shared" si="3"/>
        <v>42030</v>
      </c>
      <c r="B56"/>
      <c r="C56" s="111">
        <f t="shared" si="1"/>
        <v>18361.98</v>
      </c>
      <c r="F56" s="24">
        <f t="shared" si="2"/>
        <v>23353.98</v>
      </c>
      <c r="G56" s="24"/>
      <c r="H56" s="24"/>
    </row>
    <row r="57" spans="1:9" s="26" customFormat="1" x14ac:dyDescent="0.2">
      <c r="A57" s="112">
        <f t="shared" si="3"/>
        <v>41960</v>
      </c>
      <c r="B57"/>
      <c r="C57" s="111">
        <f t="shared" si="1"/>
        <v>19101.98</v>
      </c>
      <c r="F57" s="24">
        <f t="shared" si="2"/>
        <v>24435.98</v>
      </c>
      <c r="H57" s="24"/>
    </row>
    <row r="58" spans="1:9" s="24" customFormat="1" x14ac:dyDescent="0.2">
      <c r="A58" s="112">
        <f t="shared" si="3"/>
        <v>41890</v>
      </c>
      <c r="B58"/>
      <c r="C58" s="111">
        <f t="shared" si="1"/>
        <v>19841.98</v>
      </c>
      <c r="F58" s="24">
        <f>F57+740+342</f>
        <v>25517.98</v>
      </c>
      <c r="G58" s="26"/>
      <c r="H58" s="26"/>
      <c r="I58" s="26"/>
    </row>
    <row r="59" spans="1:9" s="26" customFormat="1" x14ac:dyDescent="0.2">
      <c r="A59" s="112">
        <f t="shared" si="3"/>
        <v>41820</v>
      </c>
      <c r="B59"/>
      <c r="C59" s="111">
        <f t="shared" si="1"/>
        <v>20581.98</v>
      </c>
      <c r="F59" s="24">
        <f t="shared" si="2"/>
        <v>26599.98</v>
      </c>
    </row>
    <row r="60" spans="1:9" s="26" customFormat="1" x14ac:dyDescent="0.2">
      <c r="A60" s="112">
        <f t="shared" si="3"/>
        <v>41750</v>
      </c>
      <c r="B60"/>
      <c r="C60" s="111">
        <f t="shared" si="1"/>
        <v>21321.98</v>
      </c>
      <c r="F60" s="24">
        <f t="shared" si="2"/>
        <v>27681.98</v>
      </c>
      <c r="H60"/>
    </row>
    <row r="61" spans="1:9" s="26" customFormat="1" x14ac:dyDescent="0.2">
      <c r="A61" s="112">
        <f t="shared" si="3"/>
        <v>41680</v>
      </c>
      <c r="B61"/>
      <c r="C61" s="111">
        <f t="shared" si="1"/>
        <v>22061.98</v>
      </c>
      <c r="F61" s="24">
        <f t="shared" si="2"/>
        <v>28763.98</v>
      </c>
      <c r="H61"/>
    </row>
    <row r="62" spans="1:9" s="24" customFormat="1" x14ac:dyDescent="0.2">
      <c r="A62" s="112">
        <f t="shared" si="3"/>
        <v>41610</v>
      </c>
      <c r="B62"/>
      <c r="C62" s="111">
        <f t="shared" si="1"/>
        <v>22801.98</v>
      </c>
      <c r="F62" s="24">
        <f t="shared" si="2"/>
        <v>29845.98</v>
      </c>
      <c r="G62" s="26"/>
      <c r="H62" s="26"/>
      <c r="I62" s="26"/>
    </row>
    <row r="63" spans="1:9" s="24" customFormat="1" x14ac:dyDescent="0.2">
      <c r="A63" s="112">
        <f t="shared" si="3"/>
        <v>41540</v>
      </c>
      <c r="B63"/>
      <c r="C63" s="111">
        <f t="shared" si="1"/>
        <v>23541.98</v>
      </c>
      <c r="D63" s="26"/>
      <c r="F63" s="24">
        <f t="shared" si="2"/>
        <v>30927.98</v>
      </c>
      <c r="G63" s="26"/>
      <c r="H63" s="26"/>
      <c r="I63" s="26"/>
    </row>
    <row r="64" spans="1:9" s="24" customFormat="1" x14ac:dyDescent="0.2">
      <c r="A64" s="112">
        <f t="shared" si="3"/>
        <v>41470</v>
      </c>
      <c r="B64"/>
      <c r="C64" s="111">
        <f t="shared" si="1"/>
        <v>24281.98</v>
      </c>
      <c r="D64" s="26"/>
      <c r="F64" s="24">
        <f t="shared" si="2"/>
        <v>32009.98</v>
      </c>
      <c r="G64" s="26"/>
      <c r="H64"/>
      <c r="I64" s="26"/>
    </row>
    <row r="65" spans="1:9" s="26" customFormat="1" x14ac:dyDescent="0.2">
      <c r="A65" s="112">
        <f t="shared" si="3"/>
        <v>41400</v>
      </c>
      <c r="B65"/>
      <c r="C65" s="111">
        <f t="shared" si="1"/>
        <v>25021.98</v>
      </c>
      <c r="F65" s="24">
        <f t="shared" si="2"/>
        <v>33091.979999999996</v>
      </c>
      <c r="G65"/>
      <c r="H65"/>
    </row>
    <row r="66" spans="1:9" s="26" customFormat="1" x14ac:dyDescent="0.2">
      <c r="A66" s="112">
        <f t="shared" si="3"/>
        <v>41330</v>
      </c>
      <c r="B66"/>
      <c r="C66" s="111">
        <f t="shared" si="1"/>
        <v>25761.98</v>
      </c>
      <c r="F66" s="24">
        <f t="shared" si="2"/>
        <v>34173.979999999996</v>
      </c>
      <c r="G66"/>
      <c r="H66"/>
      <c r="I66"/>
    </row>
    <row r="67" spans="1:9" x14ac:dyDescent="0.2">
      <c r="A67" s="112">
        <f t="shared" si="3"/>
        <v>41260</v>
      </c>
      <c r="C67" s="111">
        <f t="shared" si="1"/>
        <v>26501.98</v>
      </c>
      <c r="F67" s="24">
        <f t="shared" si="2"/>
        <v>35255.979999999996</v>
      </c>
    </row>
    <row r="68" spans="1:9" x14ac:dyDescent="0.2">
      <c r="A68" s="112">
        <f t="shared" si="3"/>
        <v>41190</v>
      </c>
      <c r="C68" s="111">
        <f t="shared" si="1"/>
        <v>27241.98</v>
      </c>
      <c r="F68" s="24">
        <f t="shared" si="2"/>
        <v>36337.979999999996</v>
      </c>
    </row>
    <row r="69" spans="1:9" s="26" customFormat="1" x14ac:dyDescent="0.2">
      <c r="A69" s="112">
        <f t="shared" si="3"/>
        <v>41120</v>
      </c>
      <c r="B69"/>
      <c r="C69" s="111">
        <f t="shared" si="1"/>
        <v>27981.98</v>
      </c>
      <c r="F69" s="24">
        <f>F68+740+342</f>
        <v>37419.979999999996</v>
      </c>
      <c r="G69"/>
      <c r="H69"/>
      <c r="I69"/>
    </row>
    <row r="70" spans="1:9" s="26" customFormat="1" x14ac:dyDescent="0.2">
      <c r="A70" s="112">
        <f t="shared" si="3"/>
        <v>41050</v>
      </c>
      <c r="B70"/>
      <c r="C70" s="111">
        <f t="shared" si="1"/>
        <v>28721.98</v>
      </c>
      <c r="F70" s="24">
        <f t="shared" si="2"/>
        <v>38501.979999999996</v>
      </c>
      <c r="G70"/>
      <c r="H70"/>
      <c r="I70"/>
    </row>
    <row r="71" spans="1:9" x14ac:dyDescent="0.2">
      <c r="A71" s="112">
        <f t="shared" si="3"/>
        <v>40980</v>
      </c>
      <c r="C71" s="111">
        <f t="shared" si="1"/>
        <v>29461.98</v>
      </c>
      <c r="F71" s="24">
        <f t="shared" si="2"/>
        <v>39583.979999999996</v>
      </c>
    </row>
    <row r="72" spans="1:9" x14ac:dyDescent="0.2">
      <c r="A72" s="112">
        <f t="shared" si="3"/>
        <v>40910</v>
      </c>
      <c r="C72" s="111">
        <f t="shared" si="1"/>
        <v>30201.98</v>
      </c>
      <c r="F72" s="24">
        <f t="shared" si="2"/>
        <v>40665.979999999996</v>
      </c>
      <c r="G72" t="s">
        <v>671</v>
      </c>
    </row>
    <row r="73" spans="1:9" x14ac:dyDescent="0.2">
      <c r="A73" s="112">
        <f t="shared" si="3"/>
        <v>40840</v>
      </c>
      <c r="C73" s="111">
        <f t="shared" si="1"/>
        <v>30941.98</v>
      </c>
      <c r="F73" s="24">
        <f t="shared" si="2"/>
        <v>41747.979999999996</v>
      </c>
    </row>
    <row r="74" spans="1:9" x14ac:dyDescent="0.2">
      <c r="A74" s="112">
        <f t="shared" si="3"/>
        <v>40770</v>
      </c>
      <c r="C74" s="111">
        <f t="shared" si="1"/>
        <v>31681.98</v>
      </c>
      <c r="F74" s="24">
        <f t="shared" si="2"/>
        <v>42829.979999999996</v>
      </c>
    </row>
    <row r="75" spans="1:9" x14ac:dyDescent="0.2">
      <c r="A75" s="112">
        <f t="shared" si="3"/>
        <v>40700</v>
      </c>
      <c r="C75" s="111">
        <f t="shared" si="1"/>
        <v>32421.98</v>
      </c>
      <c r="F75" s="24">
        <f t="shared" si="2"/>
        <v>43911.979999999996</v>
      </c>
    </row>
    <row r="76" spans="1:9" x14ac:dyDescent="0.2">
      <c r="A76" s="112">
        <f t="shared" si="3"/>
        <v>40630</v>
      </c>
      <c r="C76" s="111">
        <f t="shared" si="1"/>
        <v>33161.979999999996</v>
      </c>
      <c r="F76" s="24">
        <f t="shared" si="2"/>
        <v>44993.979999999996</v>
      </c>
    </row>
    <row r="77" spans="1:9" x14ac:dyDescent="0.2">
      <c r="A77" s="112">
        <f t="shared" si="3"/>
        <v>40560</v>
      </c>
      <c r="C77" s="111">
        <f t="shared" si="1"/>
        <v>33901.979999999996</v>
      </c>
      <c r="F77" s="24">
        <f t="shared" si="2"/>
        <v>46075.979999999996</v>
      </c>
    </row>
    <row r="78" spans="1:9" x14ac:dyDescent="0.2">
      <c r="A78" s="112">
        <f t="shared" si="3"/>
        <v>40490</v>
      </c>
      <c r="C78" s="111">
        <f t="shared" si="1"/>
        <v>34641.979999999996</v>
      </c>
      <c r="F78" s="24">
        <f t="shared" si="2"/>
        <v>47157.979999999996</v>
      </c>
    </row>
    <row r="79" spans="1:9" x14ac:dyDescent="0.2">
      <c r="A79" s="112">
        <f t="shared" si="3"/>
        <v>40420</v>
      </c>
      <c r="C79" s="111">
        <f t="shared" si="1"/>
        <v>35381.979999999996</v>
      </c>
      <c r="F79" s="24">
        <f t="shared" si="2"/>
        <v>48239.979999999996</v>
      </c>
    </row>
    <row r="80" spans="1:9" x14ac:dyDescent="0.2">
      <c r="A80" s="112">
        <f t="shared" si="3"/>
        <v>40350</v>
      </c>
      <c r="C80" s="111">
        <f t="shared" si="1"/>
        <v>36121.979999999996</v>
      </c>
      <c r="F80" s="24">
        <f t="shared" si="2"/>
        <v>49321.979999999996</v>
      </c>
    </row>
    <row r="81" spans="1:7" x14ac:dyDescent="0.2">
      <c r="A81" s="112">
        <f t="shared" si="3"/>
        <v>40280</v>
      </c>
      <c r="C81" s="111">
        <f t="shared" si="1"/>
        <v>36861.979999999996</v>
      </c>
      <c r="F81" s="24">
        <f t="shared" si="2"/>
        <v>50403.979999999996</v>
      </c>
    </row>
    <row r="82" spans="1:7" x14ac:dyDescent="0.2">
      <c r="A82" s="112">
        <f t="shared" si="3"/>
        <v>40210</v>
      </c>
      <c r="C82" s="111">
        <f t="shared" si="1"/>
        <v>37601.979999999996</v>
      </c>
      <c r="F82" s="24">
        <f t="shared" si="2"/>
        <v>51485.979999999996</v>
      </c>
    </row>
    <row r="83" spans="1:7" x14ac:dyDescent="0.2">
      <c r="A83" s="112">
        <f t="shared" si="3"/>
        <v>40140</v>
      </c>
      <c r="C83" s="111">
        <f t="shared" si="1"/>
        <v>38341.979999999996</v>
      </c>
      <c r="F83" s="24">
        <f t="shared" si="2"/>
        <v>52567.979999999996</v>
      </c>
    </row>
    <row r="84" spans="1:7" x14ac:dyDescent="0.2">
      <c r="A84" s="112">
        <f t="shared" si="3"/>
        <v>40070</v>
      </c>
      <c r="C84" s="111">
        <f t="shared" si="1"/>
        <v>39081.979999999996</v>
      </c>
      <c r="F84" s="24">
        <f t="shared" si="2"/>
        <v>53649.979999999996</v>
      </c>
    </row>
    <row r="85" spans="1:7" x14ac:dyDescent="0.2">
      <c r="A85" s="112">
        <f t="shared" si="3"/>
        <v>40000</v>
      </c>
      <c r="C85" s="111">
        <f t="shared" si="1"/>
        <v>39821.979999999996</v>
      </c>
      <c r="F85" s="24">
        <f t="shared" si="2"/>
        <v>54731.979999999996</v>
      </c>
    </row>
    <row r="86" spans="1:7" x14ac:dyDescent="0.2">
      <c r="A86" s="114">
        <f t="shared" si="3"/>
        <v>39930</v>
      </c>
      <c r="B86" s="74"/>
      <c r="C86" s="115">
        <f t="shared" si="1"/>
        <v>40561.979999999996</v>
      </c>
      <c r="D86" s="74"/>
      <c r="E86" s="74"/>
      <c r="F86" s="36">
        <f t="shared" si="2"/>
        <v>55813.979999999996</v>
      </c>
      <c r="G86" t="s">
        <v>672</v>
      </c>
    </row>
    <row r="87" spans="1:7" x14ac:dyDescent="0.2">
      <c r="A87" t="s">
        <v>670</v>
      </c>
    </row>
  </sheetData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4312-683A-4674-86A0-25350A5A3AF3}">
  <dimension ref="A1:K73"/>
  <sheetViews>
    <sheetView workbookViewId="0">
      <selection activeCell="A25" sqref="A25:C25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662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3277.24</v>
      </c>
      <c r="C3" s="51">
        <v>3277.24</v>
      </c>
      <c r="F3" s="33">
        <f>B3+B4</f>
        <v>4574.7199999999993</v>
      </c>
      <c r="G3" s="27">
        <f>C9+C10+C11+C12+C13+C14+C15+C16</f>
        <v>3534.9399999999996</v>
      </c>
      <c r="H3" s="27">
        <f>F3-G3</f>
        <v>1039.7799999999997</v>
      </c>
    </row>
    <row r="4" spans="1:11" x14ac:dyDescent="0.2">
      <c r="A4" s="26" t="s">
        <v>265</v>
      </c>
      <c r="B4">
        <v>1297.48</v>
      </c>
      <c r="C4">
        <v>1297.48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4574.7199999999993</v>
      </c>
      <c r="G6" s="27">
        <f>C19+C20+C21+C22+C23+C24+C25</f>
        <v>1613.59</v>
      </c>
      <c r="H6" s="27">
        <f>F6-G6</f>
        <v>2961.1299999999992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2256.87</v>
      </c>
      <c r="D9" s="26"/>
      <c r="F9" s="26"/>
      <c r="H9" s="26"/>
      <c r="I9" s="26"/>
      <c r="J9" s="45"/>
    </row>
    <row r="10" spans="1:11" s="24" customFormat="1" x14ac:dyDescent="0.2">
      <c r="A10" s="20" t="s">
        <v>301</v>
      </c>
      <c r="B10" s="20" t="s">
        <v>399</v>
      </c>
      <c r="C10" s="55">
        <v>96.12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653</v>
      </c>
      <c r="B11" s="20" t="s">
        <v>657</v>
      </c>
      <c r="C11" s="21">
        <v>40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633</v>
      </c>
      <c r="B12" s="20" t="s">
        <v>518</v>
      </c>
      <c r="C12" s="21">
        <v>542.02</v>
      </c>
      <c r="D12" s="26"/>
      <c r="F12" s="25">
        <f>(H3+H6)/2</f>
        <v>2000.4549999999995</v>
      </c>
      <c r="G12" s="26"/>
      <c r="H12" s="26"/>
      <c r="I12" s="26"/>
      <c r="K12" s="45"/>
    </row>
    <row r="13" spans="1:11" s="24" customFormat="1" x14ac:dyDescent="0.2">
      <c r="A13" s="20" t="s">
        <v>626</v>
      </c>
      <c r="B13" s="20" t="s">
        <v>398</v>
      </c>
      <c r="C13" s="21">
        <v>148.03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650</v>
      </c>
      <c r="B14" s="20" t="s">
        <v>401</v>
      </c>
      <c r="C14" s="21">
        <v>10.9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628</v>
      </c>
      <c r="B15" s="20" t="s">
        <v>635</v>
      </c>
      <c r="C15" s="21">
        <v>434.01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651</v>
      </c>
      <c r="B16" s="20" t="s">
        <v>523</v>
      </c>
      <c r="C16" s="21">
        <v>6.99</v>
      </c>
      <c r="D16" s="26"/>
      <c r="F16" s="26"/>
      <c r="I16" s="26"/>
      <c r="J16" s="66"/>
      <c r="K16" s="45"/>
    </row>
    <row r="17" spans="1:11" s="24" customFormat="1" x14ac:dyDescent="0.2">
      <c r="A17" s="29"/>
      <c r="B17" s="29"/>
      <c r="C17" s="30"/>
      <c r="D17" s="90"/>
      <c r="F17" s="26"/>
      <c r="I17" s="26"/>
      <c r="J17" s="26"/>
      <c r="K17" s="26"/>
    </row>
    <row r="18" spans="1:11" s="24" customFormat="1" x14ac:dyDescent="0.2">
      <c r="A18" s="32" t="s">
        <v>13</v>
      </c>
      <c r="B18" s="25"/>
      <c r="C18" s="27"/>
      <c r="D18" s="26"/>
      <c r="F18" s="26"/>
      <c r="I18" s="26"/>
      <c r="J18" s="26"/>
      <c r="K18" s="26"/>
    </row>
    <row r="19" spans="1:11" s="24" customFormat="1" x14ac:dyDescent="0.2">
      <c r="A19" s="20" t="s">
        <v>660</v>
      </c>
      <c r="B19" s="20" t="s">
        <v>400</v>
      </c>
      <c r="C19" s="21">
        <v>98.74</v>
      </c>
      <c r="D19" s="26"/>
      <c r="F19" s="26"/>
      <c r="I19" s="26"/>
      <c r="J19" s="26"/>
      <c r="K19" s="26"/>
    </row>
    <row r="20" spans="1:11" s="24" customFormat="1" x14ac:dyDescent="0.2">
      <c r="A20" s="20" t="s">
        <v>598</v>
      </c>
      <c r="B20" s="20" t="s">
        <v>448</v>
      </c>
      <c r="C20" s="21">
        <v>483.15</v>
      </c>
      <c r="D20" s="26"/>
      <c r="F20" s="26"/>
      <c r="J20" s="41"/>
    </row>
    <row r="21" spans="1:11" s="24" customFormat="1" x14ac:dyDescent="0.2">
      <c r="A21" s="20" t="s">
        <v>267</v>
      </c>
      <c r="B21" s="20" t="s">
        <v>404</v>
      </c>
      <c r="C21" s="55">
        <v>40</v>
      </c>
      <c r="D21" s="26"/>
      <c r="F21" s="26"/>
    </row>
    <row r="22" spans="1:11" s="24" customFormat="1" x14ac:dyDescent="0.2">
      <c r="A22" s="20" t="s">
        <v>79</v>
      </c>
      <c r="B22" s="20" t="s">
        <v>390</v>
      </c>
      <c r="C22" s="21">
        <v>157.84</v>
      </c>
      <c r="D22" s="26"/>
      <c r="F22" s="26"/>
    </row>
    <row r="23" spans="1:11" s="24" customFormat="1" x14ac:dyDescent="0.2">
      <c r="A23" s="20" t="s">
        <v>302</v>
      </c>
      <c r="B23" s="20" t="s">
        <v>388</v>
      </c>
      <c r="C23" s="21">
        <v>473.54</v>
      </c>
      <c r="D23" s="26"/>
      <c r="F23" s="26"/>
    </row>
    <row r="24" spans="1:11" s="24" customFormat="1" x14ac:dyDescent="0.2">
      <c r="A24" s="20" t="s">
        <v>601</v>
      </c>
      <c r="B24" s="20" t="s">
        <v>395</v>
      </c>
      <c r="C24" s="21">
        <v>17.510000000000002</v>
      </c>
      <c r="D24" s="26"/>
      <c r="F24" s="26"/>
      <c r="I24" s="102"/>
    </row>
    <row r="25" spans="1:11" s="24" customFormat="1" x14ac:dyDescent="0.2">
      <c r="A25" s="20" t="s">
        <v>661</v>
      </c>
      <c r="B25" s="20" t="s">
        <v>494</v>
      </c>
      <c r="C25" s="21">
        <v>342.81</v>
      </c>
      <c r="D25" s="26"/>
      <c r="F25" s="26"/>
      <c r="I25" s="102"/>
    </row>
    <row r="26" spans="1:11" s="24" customFormat="1" x14ac:dyDescent="0.2">
      <c r="A26" s="14"/>
      <c r="B26" s="14"/>
      <c r="C26" s="14"/>
      <c r="D26" s="26"/>
      <c r="F26" s="26"/>
      <c r="I26" s="102"/>
    </row>
    <row r="27" spans="1:11" s="24" customFormat="1" x14ac:dyDescent="0.2">
      <c r="A27"/>
      <c r="B27"/>
      <c r="C27"/>
      <c r="D27" s="26"/>
      <c r="F27" s="26"/>
      <c r="I27" s="102"/>
    </row>
    <row r="28" spans="1:11" s="24" customFormat="1" x14ac:dyDescent="0.2">
      <c r="C28"/>
      <c r="F28" s="26"/>
      <c r="I28" s="102"/>
    </row>
    <row r="29" spans="1:11" s="24" customFormat="1" x14ac:dyDescent="0.2">
      <c r="B29" s="24" t="s">
        <v>636</v>
      </c>
      <c r="C29" s="24" t="s">
        <v>637</v>
      </c>
      <c r="D29" s="26"/>
      <c r="F29" s="26"/>
      <c r="I29" s="52"/>
    </row>
    <row r="30" spans="1:11" s="24" customFormat="1" x14ac:dyDescent="0.2">
      <c r="A30" s="20" t="s">
        <v>600</v>
      </c>
      <c r="B30" s="109">
        <v>4025</v>
      </c>
      <c r="C30" s="21">
        <v>69</v>
      </c>
      <c r="D30" s="26"/>
      <c r="I30" s="52"/>
    </row>
    <row r="31" spans="1:11" s="24" customFormat="1" x14ac:dyDescent="0.2">
      <c r="D31" s="26"/>
      <c r="H31" s="26"/>
      <c r="I31" s="52"/>
    </row>
    <row r="32" spans="1:11" s="24" customFormat="1" x14ac:dyDescent="0.2">
      <c r="D32" s="26"/>
      <c r="G32" s="110"/>
      <c r="H32" s="26"/>
      <c r="I32" s="52"/>
    </row>
    <row r="33" spans="1:9" s="24" customFormat="1" x14ac:dyDescent="0.2">
      <c r="D33" s="26"/>
      <c r="H33" s="26"/>
      <c r="I33" s="52"/>
    </row>
    <row r="34" spans="1:9" s="24" customFormat="1" x14ac:dyDescent="0.2">
      <c r="D34" s="26"/>
      <c r="E34" s="101"/>
      <c r="H34" s="26"/>
      <c r="I34" s="52"/>
    </row>
    <row r="35" spans="1:9" s="24" customFormat="1" x14ac:dyDescent="0.2">
      <c r="D35" s="26"/>
      <c r="E35" s="101"/>
      <c r="H35" s="26"/>
      <c r="I35" s="26"/>
    </row>
    <row r="36" spans="1:9" s="24" customFormat="1" x14ac:dyDescent="0.2">
      <c r="D36" s="26"/>
      <c r="E36" s="101"/>
      <c r="H36" s="26"/>
      <c r="I36" s="26"/>
    </row>
    <row r="37" spans="1:9" s="24" customFormat="1" x14ac:dyDescent="0.2">
      <c r="D37" s="26"/>
      <c r="E37" s="104"/>
      <c r="H37" s="26"/>
      <c r="I37" s="26"/>
    </row>
    <row r="38" spans="1:9" s="24" customFormat="1" x14ac:dyDescent="0.2">
      <c r="A38" s="26"/>
      <c r="D38" s="26"/>
      <c r="E38" s="101"/>
      <c r="H38" s="26"/>
      <c r="I38" s="26"/>
    </row>
    <row r="39" spans="1:9" s="24" customFormat="1" x14ac:dyDescent="0.2">
      <c r="A39" s="26"/>
      <c r="D39" s="26"/>
      <c r="E39" s="101"/>
      <c r="H39" s="26"/>
      <c r="I39" s="26"/>
    </row>
    <row r="40" spans="1:9" s="24" customFormat="1" x14ac:dyDescent="0.2">
      <c r="A40" s="26"/>
      <c r="H40" s="26"/>
      <c r="I40" s="26"/>
    </row>
    <row r="41" spans="1:9" s="24" customFormat="1" x14ac:dyDescent="0.2">
      <c r="A41" s="26"/>
      <c r="C41" s="26"/>
      <c r="H41" s="26"/>
      <c r="I41" s="26"/>
    </row>
    <row r="42" spans="1:9" s="24" customFormat="1" x14ac:dyDescent="0.2">
      <c r="A42" s="26"/>
      <c r="C42" s="26"/>
      <c r="H42" s="26"/>
      <c r="I42" s="26"/>
    </row>
    <row r="43" spans="1:9" s="24" customFormat="1" x14ac:dyDescent="0.2">
      <c r="A43" s="26"/>
      <c r="C43" s="26"/>
      <c r="H43" s="26"/>
      <c r="I43" s="26"/>
    </row>
    <row r="44" spans="1:9" s="24" customFormat="1" x14ac:dyDescent="0.2">
      <c r="A44" s="26"/>
      <c r="C44" s="26"/>
      <c r="F44" s="108"/>
      <c r="G44" s="45"/>
      <c r="H44" s="26"/>
      <c r="I44" s="26"/>
    </row>
    <row r="45" spans="1:9" s="24" customFormat="1" x14ac:dyDescent="0.2">
      <c r="F45" s="26"/>
      <c r="G45" s="46"/>
      <c r="H45" s="26"/>
      <c r="I45" s="26"/>
    </row>
    <row r="46" spans="1:9" s="24" customFormat="1" x14ac:dyDescent="0.2">
      <c r="A46" s="26"/>
      <c r="C46" s="26"/>
      <c r="F46" s="26"/>
      <c r="G46" s="46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A48" s="26"/>
      <c r="C48" s="26"/>
      <c r="F48"/>
      <c r="G48" s="46"/>
      <c r="H48" s="26"/>
      <c r="I48" s="26"/>
    </row>
    <row r="49" spans="1:9" s="24" customFormat="1" x14ac:dyDescent="0.2">
      <c r="F49" s="26"/>
      <c r="G49" s="26"/>
      <c r="H49" s="26"/>
      <c r="I49" s="26"/>
    </row>
    <row r="50" spans="1:9" s="24" customFormat="1" x14ac:dyDescent="0.2">
      <c r="A50" s="26"/>
      <c r="B50" s="26"/>
      <c r="C50"/>
      <c r="F50" s="26"/>
      <c r="G50" s="26"/>
      <c r="I50" s="26"/>
    </row>
    <row r="51" spans="1:9" s="24" customFormat="1" x14ac:dyDescent="0.2">
      <c r="A51" s="91"/>
      <c r="B51" s="26"/>
      <c r="C51"/>
      <c r="F51" s="26"/>
      <c r="G51" s="26"/>
      <c r="I51" s="26"/>
    </row>
    <row r="52" spans="1:9" s="24" customFormat="1" x14ac:dyDescent="0.2">
      <c r="A52" s="91"/>
      <c r="B52"/>
      <c r="C52"/>
      <c r="F52" s="26"/>
      <c r="G52" s="26"/>
      <c r="H52" s="26"/>
    </row>
    <row r="53" spans="1:9" s="24" customFormat="1" x14ac:dyDescent="0.2">
      <c r="A53" s="91"/>
      <c r="B53" s="26"/>
      <c r="C53"/>
      <c r="F53" s="26"/>
      <c r="G53" s="26"/>
      <c r="H53" s="26"/>
    </row>
    <row r="54" spans="1:9" s="26" customFormat="1" x14ac:dyDescent="0.2">
      <c r="A54" s="91"/>
      <c r="C54"/>
    </row>
    <row r="55" spans="1:9" s="26" customFormat="1" x14ac:dyDescent="0.2">
      <c r="A55"/>
      <c r="B55"/>
      <c r="C55"/>
      <c r="H55" s="24"/>
    </row>
    <row r="56" spans="1:9" s="26" customFormat="1" x14ac:dyDescent="0.2">
      <c r="A56"/>
      <c r="B56"/>
      <c r="C56"/>
      <c r="G56" s="24"/>
      <c r="H56" s="24"/>
    </row>
    <row r="57" spans="1:9" s="26" customFormat="1" x14ac:dyDescent="0.2">
      <c r="A57" s="91"/>
      <c r="B57"/>
      <c r="C57"/>
      <c r="H57" s="24"/>
    </row>
    <row r="58" spans="1:9" s="24" customFormat="1" x14ac:dyDescent="0.2">
      <c r="A58" s="91"/>
      <c r="B58"/>
      <c r="C58"/>
      <c r="F58" s="26"/>
      <c r="G58" s="26"/>
      <c r="H58" s="26"/>
      <c r="I58" s="26"/>
    </row>
    <row r="59" spans="1:9" s="26" customFormat="1" x14ac:dyDescent="0.2">
      <c r="A59" s="91"/>
      <c r="B59"/>
      <c r="C59"/>
    </row>
    <row r="60" spans="1:9" s="26" customFormat="1" x14ac:dyDescent="0.2">
      <c r="A60" s="91"/>
      <c r="B60"/>
      <c r="C60"/>
      <c r="H60"/>
    </row>
    <row r="61" spans="1:9" s="26" customFormat="1" x14ac:dyDescent="0.2">
      <c r="A61" s="91"/>
      <c r="B61"/>
      <c r="C61"/>
      <c r="H61"/>
    </row>
    <row r="62" spans="1:9" s="24" customFormat="1" x14ac:dyDescent="0.2">
      <c r="A62" s="91"/>
      <c r="B62"/>
      <c r="C62"/>
      <c r="F62" s="26"/>
      <c r="G62" s="26"/>
      <c r="H62" s="26"/>
      <c r="I62" s="26"/>
    </row>
    <row r="63" spans="1:9" s="24" customFormat="1" x14ac:dyDescent="0.2">
      <c r="A63" s="91"/>
      <c r="B63"/>
      <c r="C63"/>
      <c r="D63" s="26"/>
      <c r="F63"/>
      <c r="G63" s="26"/>
      <c r="H63" s="26"/>
      <c r="I63" s="26"/>
    </row>
    <row r="64" spans="1:9" s="24" customFormat="1" x14ac:dyDescent="0.2">
      <c r="A64" s="91"/>
      <c r="B64"/>
      <c r="C64"/>
      <c r="D64" s="26"/>
      <c r="F64"/>
      <c r="G64" s="26"/>
      <c r="H64"/>
      <c r="I64" s="26"/>
    </row>
    <row r="65" spans="1:9" s="26" customFormat="1" x14ac:dyDescent="0.2">
      <c r="A65" s="91"/>
      <c r="B65"/>
      <c r="C65"/>
      <c r="G65"/>
      <c r="H65"/>
    </row>
    <row r="66" spans="1:9" s="26" customFormat="1" x14ac:dyDescent="0.2">
      <c r="A66" s="91"/>
      <c r="B66"/>
      <c r="C66"/>
      <c r="G66"/>
      <c r="H66"/>
      <c r="I66"/>
    </row>
    <row r="67" spans="1:9" x14ac:dyDescent="0.2">
      <c r="A67" s="91"/>
    </row>
    <row r="68" spans="1:9" x14ac:dyDescent="0.2">
      <c r="A68" s="91"/>
    </row>
    <row r="69" spans="1:9" s="26" customFormat="1" x14ac:dyDescent="0.2">
      <c r="A69" s="91"/>
      <c r="B69"/>
      <c r="C69"/>
      <c r="F69"/>
      <c r="G69"/>
      <c r="H69"/>
      <c r="I69"/>
    </row>
    <row r="70" spans="1:9" s="26" customFormat="1" x14ac:dyDescent="0.2">
      <c r="A70" s="91"/>
      <c r="B70"/>
      <c r="C70"/>
      <c r="F70"/>
      <c r="G70"/>
      <c r="H70"/>
      <c r="I70"/>
    </row>
    <row r="71" spans="1:9" x14ac:dyDescent="0.2">
      <c r="A71" s="91"/>
    </row>
    <row r="72" spans="1:9" x14ac:dyDescent="0.2">
      <c r="A72" s="91"/>
    </row>
    <row r="73" spans="1:9" x14ac:dyDescent="0.2">
      <c r="A73" s="91"/>
    </row>
  </sheetData>
  <pageMargins left="0.7" right="0.7" top="0.75" bottom="0.75" header="0.3" footer="0.3"/>
  <pageSetup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578F-68E1-46C3-9C1D-C0671CDEDA9B}">
  <dimension ref="A1:K73"/>
  <sheetViews>
    <sheetView workbookViewId="0">
      <selection sqref="A1:XFD1048576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656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3277.24</v>
      </c>
      <c r="C3" s="51">
        <v>3277.24</v>
      </c>
      <c r="F3" s="33">
        <f>B3+B4</f>
        <v>4574.7199999999993</v>
      </c>
      <c r="G3" s="27">
        <f>C9+C10+C11+C12+C13+C14+C15+C16</f>
        <v>3502.8499999999995</v>
      </c>
      <c r="H3" s="27">
        <f>F3-G3</f>
        <v>1071.8699999999999</v>
      </c>
    </row>
    <row r="4" spans="1:11" x14ac:dyDescent="0.2">
      <c r="A4" s="26" t="s">
        <v>265</v>
      </c>
      <c r="B4">
        <v>1297.48</v>
      </c>
      <c r="C4">
        <v>1297.48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4574.7199999999993</v>
      </c>
      <c r="G6" s="27">
        <f>C19+C20+C21+C22+C23+C24+C25</f>
        <v>1385.8300000000002</v>
      </c>
      <c r="H6" s="27">
        <f>F6-G6</f>
        <v>3188.8899999999994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2256.87</v>
      </c>
      <c r="D9" s="26"/>
      <c r="F9" s="26"/>
      <c r="H9" s="26"/>
      <c r="I9" s="26"/>
      <c r="J9" s="45"/>
    </row>
    <row r="10" spans="1:11" s="24" customFormat="1" x14ac:dyDescent="0.2">
      <c r="A10" s="20" t="s">
        <v>301</v>
      </c>
      <c r="B10" s="20" t="s">
        <v>399</v>
      </c>
      <c r="C10" s="55">
        <v>96.12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653</v>
      </c>
      <c r="B11" s="20" t="s">
        <v>657</v>
      </c>
      <c r="C11" s="21">
        <v>40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633</v>
      </c>
      <c r="B12" s="20" t="s">
        <v>518</v>
      </c>
      <c r="C12" s="21">
        <v>542.02</v>
      </c>
      <c r="D12" s="26"/>
      <c r="F12" s="25">
        <f>(H3+H6)/2</f>
        <v>2130.3799999999997</v>
      </c>
      <c r="G12" s="26"/>
      <c r="H12" s="26"/>
      <c r="I12" s="26"/>
      <c r="K12" s="45"/>
    </row>
    <row r="13" spans="1:11" s="24" customFormat="1" x14ac:dyDescent="0.2">
      <c r="A13" s="20" t="s">
        <v>626</v>
      </c>
      <c r="B13" s="20" t="s">
        <v>398</v>
      </c>
      <c r="C13" s="21">
        <v>115.94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650</v>
      </c>
      <c r="B14" s="20" t="s">
        <v>401</v>
      </c>
      <c r="C14" s="21">
        <v>10.9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628</v>
      </c>
      <c r="B15" s="20" t="s">
        <v>635</v>
      </c>
      <c r="C15" s="21">
        <v>434.01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651</v>
      </c>
      <c r="B16" s="20" t="s">
        <v>523</v>
      </c>
      <c r="C16" s="21">
        <v>6.99</v>
      </c>
      <c r="D16" s="26"/>
      <c r="F16" s="26"/>
      <c r="I16" s="26"/>
      <c r="J16" s="66"/>
      <c r="K16" s="45"/>
    </row>
    <row r="17" spans="1:11" s="24" customFormat="1" x14ac:dyDescent="0.2">
      <c r="A17" s="29"/>
      <c r="B17" s="29"/>
      <c r="C17" s="30"/>
      <c r="D17" s="90"/>
      <c r="F17" s="26"/>
      <c r="I17" s="26"/>
      <c r="J17" s="26"/>
      <c r="K17" s="26"/>
    </row>
    <row r="18" spans="1:11" s="24" customFormat="1" x14ac:dyDescent="0.2">
      <c r="A18" s="32" t="s">
        <v>13</v>
      </c>
      <c r="B18" s="25"/>
      <c r="C18" s="27"/>
      <c r="D18" s="26"/>
      <c r="F18" s="26"/>
      <c r="I18" s="26"/>
      <c r="J18" s="26"/>
      <c r="K18" s="26"/>
    </row>
    <row r="19" spans="1:11" s="24" customFormat="1" x14ac:dyDescent="0.2">
      <c r="A19" s="20" t="s">
        <v>660</v>
      </c>
      <c r="B19" s="20" t="s">
        <v>400</v>
      </c>
      <c r="C19" s="21">
        <v>97.47</v>
      </c>
      <c r="D19" s="26"/>
      <c r="F19" s="26"/>
      <c r="I19" s="26"/>
      <c r="J19" s="26"/>
      <c r="K19" s="26"/>
    </row>
    <row r="20" spans="1:11" s="24" customFormat="1" x14ac:dyDescent="0.2">
      <c r="A20" s="20" t="s">
        <v>598</v>
      </c>
      <c r="B20" s="20" t="s">
        <v>448</v>
      </c>
      <c r="C20" s="21">
        <v>483.15</v>
      </c>
      <c r="D20" s="26"/>
      <c r="F20" s="26"/>
      <c r="J20" s="41"/>
    </row>
    <row r="21" spans="1:11" s="24" customFormat="1" x14ac:dyDescent="0.2">
      <c r="A21" s="20" t="s">
        <v>267</v>
      </c>
      <c r="B21" s="20" t="s">
        <v>404</v>
      </c>
      <c r="C21" s="55"/>
      <c r="D21" s="26"/>
      <c r="F21" s="26"/>
    </row>
    <row r="22" spans="1:11" s="24" customFormat="1" x14ac:dyDescent="0.2">
      <c r="A22" s="20" t="s">
        <v>79</v>
      </c>
      <c r="B22" s="20" t="s">
        <v>390</v>
      </c>
      <c r="C22" s="21">
        <v>157.84</v>
      </c>
      <c r="D22" s="26"/>
      <c r="F22" s="26"/>
    </row>
    <row r="23" spans="1:11" s="24" customFormat="1" x14ac:dyDescent="0.2">
      <c r="A23" s="20" t="s">
        <v>661</v>
      </c>
      <c r="B23" s="20" t="s">
        <v>494</v>
      </c>
      <c r="C23" s="21">
        <v>354.43</v>
      </c>
      <c r="D23" s="26"/>
      <c r="F23" s="26"/>
    </row>
    <row r="24" spans="1:11" s="24" customFormat="1" x14ac:dyDescent="0.2">
      <c r="A24" s="20" t="s">
        <v>302</v>
      </c>
      <c r="B24" s="20" t="s">
        <v>388</v>
      </c>
      <c r="C24" s="21">
        <v>275.43</v>
      </c>
      <c r="D24" s="26"/>
      <c r="F24" s="26"/>
      <c r="I24" s="102"/>
    </row>
    <row r="25" spans="1:11" s="24" customFormat="1" x14ac:dyDescent="0.2">
      <c r="A25" s="20" t="s">
        <v>601</v>
      </c>
      <c r="B25" s="20" t="s">
        <v>395</v>
      </c>
      <c r="C25" s="21">
        <v>17.510000000000002</v>
      </c>
      <c r="D25" s="26"/>
      <c r="F25" s="26"/>
      <c r="I25" s="102"/>
    </row>
    <row r="26" spans="1:11" s="24" customFormat="1" x14ac:dyDescent="0.2">
      <c r="A26" s="14"/>
      <c r="B26" s="14"/>
      <c r="C26" s="14"/>
      <c r="D26" s="26"/>
      <c r="F26" s="26"/>
      <c r="I26" s="102"/>
    </row>
    <row r="27" spans="1:11" s="24" customFormat="1" x14ac:dyDescent="0.2">
      <c r="A27"/>
      <c r="B27"/>
      <c r="C27"/>
      <c r="D27" s="26"/>
      <c r="F27" s="26"/>
      <c r="I27" s="102"/>
    </row>
    <row r="28" spans="1:11" s="24" customFormat="1" x14ac:dyDescent="0.2">
      <c r="C28"/>
      <c r="F28" s="26"/>
      <c r="I28" s="102"/>
    </row>
    <row r="29" spans="1:11" s="24" customFormat="1" x14ac:dyDescent="0.2">
      <c r="B29" s="24" t="s">
        <v>636</v>
      </c>
      <c r="C29" s="24" t="s">
        <v>637</v>
      </c>
      <c r="D29" s="26"/>
      <c r="F29" s="26"/>
      <c r="I29" s="52"/>
    </row>
    <row r="30" spans="1:11" s="24" customFormat="1" x14ac:dyDescent="0.2">
      <c r="A30" s="20" t="s">
        <v>600</v>
      </c>
      <c r="B30" s="109">
        <v>4025</v>
      </c>
      <c r="C30" s="21">
        <v>69</v>
      </c>
      <c r="D30" s="26"/>
      <c r="I30" s="52"/>
    </row>
    <row r="31" spans="1:11" s="24" customFormat="1" x14ac:dyDescent="0.2">
      <c r="A31" s="20" t="s">
        <v>629</v>
      </c>
      <c r="B31" s="109">
        <v>6140.59</v>
      </c>
      <c r="C31" s="21">
        <v>65</v>
      </c>
      <c r="D31" s="26"/>
      <c r="H31" s="26"/>
      <c r="I31" s="52"/>
    </row>
    <row r="32" spans="1:11" s="24" customFormat="1" x14ac:dyDescent="0.2">
      <c r="D32" s="26"/>
      <c r="G32" s="110"/>
      <c r="H32" s="26"/>
      <c r="I32" s="52"/>
    </row>
    <row r="33" spans="1:9" s="24" customFormat="1" x14ac:dyDescent="0.2">
      <c r="D33" s="26"/>
      <c r="H33" s="26"/>
      <c r="I33" s="52"/>
    </row>
    <row r="34" spans="1:9" s="24" customFormat="1" x14ac:dyDescent="0.2">
      <c r="D34" s="26"/>
      <c r="E34" s="101"/>
      <c r="H34" s="26"/>
      <c r="I34" s="52"/>
    </row>
    <row r="35" spans="1:9" s="24" customFormat="1" x14ac:dyDescent="0.2">
      <c r="D35" s="26"/>
      <c r="E35" s="101"/>
      <c r="H35" s="26"/>
      <c r="I35" s="26"/>
    </row>
    <row r="36" spans="1:9" s="24" customFormat="1" x14ac:dyDescent="0.2">
      <c r="D36" s="26"/>
      <c r="E36" s="101"/>
      <c r="H36" s="26"/>
      <c r="I36" s="26"/>
    </row>
    <row r="37" spans="1:9" s="24" customFormat="1" x14ac:dyDescent="0.2">
      <c r="D37" s="26"/>
      <c r="E37" s="104"/>
      <c r="H37" s="26"/>
      <c r="I37" s="26"/>
    </row>
    <row r="38" spans="1:9" s="24" customFormat="1" x14ac:dyDescent="0.2">
      <c r="A38" s="26"/>
      <c r="D38" s="26"/>
      <c r="E38" s="101"/>
      <c r="H38" s="26"/>
      <c r="I38" s="26"/>
    </row>
    <row r="39" spans="1:9" s="24" customFormat="1" x14ac:dyDescent="0.2">
      <c r="A39" s="26"/>
      <c r="D39" s="26"/>
      <c r="E39" s="101"/>
      <c r="H39" s="26"/>
      <c r="I39" s="26"/>
    </row>
    <row r="40" spans="1:9" s="24" customFormat="1" x14ac:dyDescent="0.2">
      <c r="A40" s="26"/>
      <c r="H40" s="26"/>
      <c r="I40" s="26"/>
    </row>
    <row r="41" spans="1:9" s="24" customFormat="1" x14ac:dyDescent="0.2">
      <c r="A41" s="26"/>
      <c r="C41" s="26"/>
      <c r="H41" s="26"/>
      <c r="I41" s="26"/>
    </row>
    <row r="42" spans="1:9" s="24" customFormat="1" x14ac:dyDescent="0.2">
      <c r="A42" s="26"/>
      <c r="C42" s="26"/>
      <c r="H42" s="26"/>
      <c r="I42" s="26"/>
    </row>
    <row r="43" spans="1:9" s="24" customFormat="1" x14ac:dyDescent="0.2">
      <c r="A43" s="26"/>
      <c r="C43" s="26"/>
      <c r="H43" s="26"/>
      <c r="I43" s="26"/>
    </row>
    <row r="44" spans="1:9" s="24" customFormat="1" x14ac:dyDescent="0.2">
      <c r="A44" s="26"/>
      <c r="C44" s="26"/>
      <c r="F44" s="108"/>
      <c r="G44" s="45"/>
      <c r="H44" s="26"/>
      <c r="I44" s="26"/>
    </row>
    <row r="45" spans="1:9" s="24" customFormat="1" x14ac:dyDescent="0.2">
      <c r="F45" s="26"/>
      <c r="G45" s="46"/>
      <c r="H45" s="26"/>
      <c r="I45" s="26"/>
    </row>
    <row r="46" spans="1:9" s="24" customFormat="1" x14ac:dyDescent="0.2">
      <c r="A46" s="26"/>
      <c r="C46" s="26"/>
      <c r="F46" s="26"/>
      <c r="G46" s="46"/>
      <c r="H46" s="26"/>
      <c r="I46" s="26"/>
    </row>
    <row r="47" spans="1:9" s="24" customFormat="1" x14ac:dyDescent="0.2">
      <c r="A47" s="26"/>
      <c r="C47" s="26"/>
      <c r="F47" s="26"/>
      <c r="G47" s="46"/>
      <c r="H47" s="26"/>
      <c r="I47" s="26"/>
    </row>
    <row r="48" spans="1:9" s="24" customFormat="1" x14ac:dyDescent="0.2">
      <c r="A48" s="26"/>
      <c r="C48" s="26"/>
      <c r="F48"/>
      <c r="G48" s="46"/>
      <c r="H48" s="26"/>
      <c r="I48" s="26"/>
    </row>
    <row r="49" spans="1:9" s="24" customFormat="1" x14ac:dyDescent="0.2">
      <c r="F49" s="26"/>
      <c r="G49" s="26"/>
      <c r="H49" s="26"/>
      <c r="I49" s="26"/>
    </row>
    <row r="50" spans="1:9" s="24" customFormat="1" x14ac:dyDescent="0.2">
      <c r="A50" s="26"/>
      <c r="B50" s="26"/>
      <c r="C50"/>
      <c r="F50" s="26"/>
      <c r="G50" s="26"/>
      <c r="I50" s="26"/>
    </row>
    <row r="51" spans="1:9" s="24" customFormat="1" x14ac:dyDescent="0.2">
      <c r="A51" s="91"/>
      <c r="B51" s="26"/>
      <c r="C51"/>
      <c r="F51" s="26"/>
      <c r="G51" s="26"/>
      <c r="I51" s="26"/>
    </row>
    <row r="52" spans="1:9" s="24" customFormat="1" x14ac:dyDescent="0.2">
      <c r="A52" s="91"/>
      <c r="B52"/>
      <c r="C52"/>
      <c r="F52" s="26"/>
      <c r="G52" s="26"/>
      <c r="H52" s="26"/>
    </row>
    <row r="53" spans="1:9" s="24" customFormat="1" x14ac:dyDescent="0.2">
      <c r="A53" s="91"/>
      <c r="B53" s="26"/>
      <c r="C53"/>
      <c r="F53" s="26"/>
      <c r="G53" s="26"/>
      <c r="H53" s="26"/>
    </row>
    <row r="54" spans="1:9" s="26" customFormat="1" x14ac:dyDescent="0.2">
      <c r="A54" s="91"/>
      <c r="C54"/>
    </row>
    <row r="55" spans="1:9" s="26" customFormat="1" x14ac:dyDescent="0.2">
      <c r="A55"/>
      <c r="B55"/>
      <c r="C55"/>
      <c r="H55" s="24"/>
    </row>
    <row r="56" spans="1:9" s="26" customFormat="1" x14ac:dyDescent="0.2">
      <c r="A56"/>
      <c r="B56"/>
      <c r="C56"/>
      <c r="G56" s="24"/>
      <c r="H56" s="24"/>
    </row>
    <row r="57" spans="1:9" s="26" customFormat="1" x14ac:dyDescent="0.2">
      <c r="A57" s="91"/>
      <c r="B57"/>
      <c r="C57"/>
      <c r="H57" s="24"/>
    </row>
    <row r="58" spans="1:9" s="24" customFormat="1" x14ac:dyDescent="0.2">
      <c r="A58" s="91"/>
      <c r="B58"/>
      <c r="C58"/>
      <c r="F58" s="26"/>
      <c r="G58" s="26"/>
      <c r="H58" s="26"/>
      <c r="I58" s="26"/>
    </row>
    <row r="59" spans="1:9" s="26" customFormat="1" x14ac:dyDescent="0.2">
      <c r="A59" s="91"/>
      <c r="B59"/>
      <c r="C59"/>
    </row>
    <row r="60" spans="1:9" s="26" customFormat="1" x14ac:dyDescent="0.2">
      <c r="A60" s="91"/>
      <c r="B60"/>
      <c r="C60"/>
      <c r="H60"/>
    </row>
    <row r="61" spans="1:9" s="26" customFormat="1" x14ac:dyDescent="0.2">
      <c r="A61" s="91"/>
      <c r="B61"/>
      <c r="C61"/>
      <c r="H61"/>
    </row>
    <row r="62" spans="1:9" s="24" customFormat="1" x14ac:dyDescent="0.2">
      <c r="A62" s="91"/>
      <c r="B62"/>
      <c r="C62"/>
      <c r="F62" s="26"/>
      <c r="G62" s="26"/>
      <c r="H62" s="26"/>
      <c r="I62" s="26"/>
    </row>
    <row r="63" spans="1:9" s="24" customFormat="1" x14ac:dyDescent="0.2">
      <c r="A63" s="91"/>
      <c r="B63"/>
      <c r="C63"/>
      <c r="D63" s="26"/>
      <c r="F63"/>
      <c r="G63" s="26"/>
      <c r="H63" s="26"/>
      <c r="I63" s="26"/>
    </row>
    <row r="64" spans="1:9" s="24" customFormat="1" x14ac:dyDescent="0.2">
      <c r="A64" s="91"/>
      <c r="B64"/>
      <c r="C64"/>
      <c r="D64" s="26"/>
      <c r="F64"/>
      <c r="G64" s="26"/>
      <c r="H64"/>
      <c r="I64" s="26"/>
    </row>
    <row r="65" spans="1:9" s="26" customFormat="1" x14ac:dyDescent="0.2">
      <c r="A65" s="91"/>
      <c r="B65"/>
      <c r="C65"/>
      <c r="G65"/>
      <c r="H65"/>
    </row>
    <row r="66" spans="1:9" s="26" customFormat="1" x14ac:dyDescent="0.2">
      <c r="A66" s="91"/>
      <c r="B66"/>
      <c r="C66"/>
      <c r="G66"/>
      <c r="H66"/>
      <c r="I66"/>
    </row>
    <row r="67" spans="1:9" x14ac:dyDescent="0.2">
      <c r="A67" s="91"/>
    </row>
    <row r="68" spans="1:9" x14ac:dyDescent="0.2">
      <c r="A68" s="91"/>
    </row>
    <row r="69" spans="1:9" s="26" customFormat="1" x14ac:dyDescent="0.2">
      <c r="A69" s="91"/>
      <c r="B69"/>
      <c r="C69"/>
      <c r="F69"/>
      <c r="G69"/>
      <c r="H69"/>
      <c r="I69"/>
    </row>
    <row r="70" spans="1:9" s="26" customFormat="1" x14ac:dyDescent="0.2">
      <c r="A70" s="91"/>
      <c r="B70"/>
      <c r="C70"/>
      <c r="F70"/>
      <c r="G70"/>
      <c r="H70"/>
      <c r="I70"/>
    </row>
    <row r="71" spans="1:9" x14ac:dyDescent="0.2">
      <c r="A71" s="91"/>
    </row>
    <row r="72" spans="1:9" x14ac:dyDescent="0.2">
      <c r="A72" s="91"/>
    </row>
    <row r="73" spans="1:9" x14ac:dyDescent="0.2">
      <c r="A73" s="91"/>
    </row>
  </sheetData>
  <pageMargins left="0.7" right="0.7" top="0.75" bottom="0.75" header="0.3" footer="0.3"/>
  <pageSetup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7413-5D23-450C-9C4B-59EF30844BCE}">
  <dimension ref="A1:K76"/>
  <sheetViews>
    <sheetView topLeftCell="A4" workbookViewId="0">
      <selection activeCell="A26" sqref="A26:C26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52.1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640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3277.24</v>
      </c>
      <c r="C3" s="51">
        <v>3277.24</v>
      </c>
      <c r="F3" s="33">
        <f>B3+B4</f>
        <v>4574.7199999999993</v>
      </c>
      <c r="G3" s="27">
        <f>C9+C10+C11+C12+C13+C14+C15+C16+C17+C18+C19</f>
        <v>3802.75</v>
      </c>
      <c r="H3" s="27">
        <f>F3-G3</f>
        <v>771.96999999999935</v>
      </c>
    </row>
    <row r="4" spans="1:11" x14ac:dyDescent="0.2">
      <c r="A4" s="26" t="s">
        <v>265</v>
      </c>
      <c r="B4">
        <v>1297.48</v>
      </c>
      <c r="C4">
        <v>1297.48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4574.7199999999993</v>
      </c>
      <c r="G6" s="27">
        <f>C22+C23+C24+C25+C26</f>
        <v>992.67</v>
      </c>
      <c r="H6" s="27">
        <f>F6-G6</f>
        <v>3582.0499999999993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652</v>
      </c>
      <c r="B9" s="20" t="s">
        <v>389</v>
      </c>
      <c r="C9" s="22">
        <v>2558.1799999999998</v>
      </c>
      <c r="D9" s="26"/>
      <c r="F9" s="26"/>
      <c r="H9" s="26"/>
      <c r="I9" s="26"/>
      <c r="J9" s="45"/>
    </row>
    <row r="10" spans="1:11" s="24" customFormat="1" x14ac:dyDescent="0.2">
      <c r="A10" s="20" t="s">
        <v>301</v>
      </c>
      <c r="B10" s="20" t="s">
        <v>399</v>
      </c>
      <c r="C10" s="55">
        <v>72.709999999999994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653</v>
      </c>
      <c r="B11" s="20"/>
      <c r="C11" s="21">
        <v>40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633</v>
      </c>
      <c r="B12" s="20" t="s">
        <v>518</v>
      </c>
      <c r="C12" s="21">
        <v>542.02</v>
      </c>
      <c r="D12" s="26"/>
      <c r="F12" s="25">
        <f>(H3+H6)/2</f>
        <v>2177.0099999999993</v>
      </c>
      <c r="G12" s="26"/>
      <c r="H12" s="26"/>
      <c r="I12" s="26"/>
      <c r="K12" s="45"/>
    </row>
    <row r="13" spans="1:11" s="24" customFormat="1" x14ac:dyDescent="0.2">
      <c r="A13" s="20" t="s">
        <v>626</v>
      </c>
      <c r="B13" s="20" t="s">
        <v>398</v>
      </c>
      <c r="C13" s="21">
        <v>137.94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/>
      <c r="B14" s="20"/>
      <c r="C14" s="21"/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603</v>
      </c>
      <c r="B15" s="20" t="s">
        <v>401</v>
      </c>
      <c r="C15" s="21"/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650</v>
      </c>
      <c r="B16" s="20" t="s">
        <v>401</v>
      </c>
      <c r="C16" s="21">
        <v>10.9</v>
      </c>
      <c r="D16" s="26"/>
      <c r="F16" s="26"/>
      <c r="I16" s="26"/>
      <c r="J16" s="66"/>
      <c r="K16" s="45"/>
    </row>
    <row r="17" spans="1:11" s="24" customFormat="1" x14ac:dyDescent="0.2">
      <c r="A17" s="20" t="s">
        <v>628</v>
      </c>
      <c r="B17" s="20" t="s">
        <v>635</v>
      </c>
      <c r="C17" s="21">
        <v>434.01</v>
      </c>
      <c r="D17" s="90"/>
      <c r="F17" s="26"/>
      <c r="I17" s="26"/>
      <c r="J17" s="26"/>
      <c r="K17" s="26"/>
    </row>
    <row r="18" spans="1:11" s="24" customFormat="1" x14ac:dyDescent="0.2">
      <c r="A18" s="20" t="s">
        <v>651</v>
      </c>
      <c r="B18" s="20" t="s">
        <v>523</v>
      </c>
      <c r="C18" s="21">
        <v>6.99</v>
      </c>
      <c r="D18" s="26"/>
      <c r="F18" s="26"/>
      <c r="I18" s="26"/>
      <c r="J18" s="26"/>
      <c r="K18" s="26"/>
    </row>
    <row r="19" spans="1:11" s="24" customFormat="1" x14ac:dyDescent="0.2">
      <c r="A19" s="20" t="s">
        <v>639</v>
      </c>
      <c r="B19" s="20" t="s">
        <v>400</v>
      </c>
      <c r="C19" s="21"/>
      <c r="D19" s="26"/>
      <c r="F19" s="26"/>
      <c r="J19" s="41"/>
    </row>
    <row r="20" spans="1:11" s="24" customFormat="1" x14ac:dyDescent="0.2">
      <c r="A20" s="29"/>
      <c r="B20" s="29"/>
      <c r="C20" s="30"/>
      <c r="D20" s="26"/>
      <c r="F20" s="26"/>
    </row>
    <row r="21" spans="1:11" s="24" customFormat="1" x14ac:dyDescent="0.2">
      <c r="A21" s="32" t="s">
        <v>13</v>
      </c>
      <c r="B21" s="25"/>
      <c r="C21" s="27"/>
      <c r="D21" s="26"/>
      <c r="F21" s="26"/>
    </row>
    <row r="22" spans="1:11" s="24" customFormat="1" x14ac:dyDescent="0.2">
      <c r="A22" s="20" t="s">
        <v>598</v>
      </c>
      <c r="B22" s="20" t="s">
        <v>448</v>
      </c>
      <c r="C22" s="21">
        <v>483.15</v>
      </c>
      <c r="D22" s="26"/>
      <c r="F22" s="26"/>
      <c r="I22" s="102"/>
    </row>
    <row r="23" spans="1:11" s="24" customFormat="1" x14ac:dyDescent="0.2">
      <c r="A23" s="20" t="s">
        <v>267</v>
      </c>
      <c r="B23" s="20" t="s">
        <v>404</v>
      </c>
      <c r="C23" s="55">
        <v>33.4</v>
      </c>
      <c r="D23" s="26"/>
      <c r="F23" s="26"/>
      <c r="I23" s="102"/>
    </row>
    <row r="24" spans="1:11" s="24" customFormat="1" x14ac:dyDescent="0.2">
      <c r="A24" s="20" t="s">
        <v>79</v>
      </c>
      <c r="B24" s="20" t="s">
        <v>390</v>
      </c>
      <c r="C24" s="21">
        <v>196.61</v>
      </c>
      <c r="D24" s="26"/>
      <c r="F24" s="26"/>
      <c r="I24" s="102"/>
    </row>
    <row r="25" spans="1:11" s="24" customFormat="1" x14ac:dyDescent="0.2">
      <c r="A25" s="20" t="s">
        <v>302</v>
      </c>
      <c r="B25" s="20" t="s">
        <v>388</v>
      </c>
      <c r="C25" s="21">
        <v>262</v>
      </c>
      <c r="D25" s="26"/>
      <c r="F25" s="26"/>
      <c r="I25" s="102"/>
    </row>
    <row r="26" spans="1:11" s="24" customFormat="1" x14ac:dyDescent="0.2">
      <c r="A26" s="20" t="s">
        <v>601</v>
      </c>
      <c r="B26" s="20" t="s">
        <v>395</v>
      </c>
      <c r="C26" s="21">
        <v>17.510000000000002</v>
      </c>
      <c r="F26" s="26"/>
      <c r="I26" s="102"/>
    </row>
    <row r="27" spans="1:11" s="24" customFormat="1" x14ac:dyDescent="0.2">
      <c r="A27" s="14"/>
      <c r="B27" s="14"/>
      <c r="C27" s="14"/>
      <c r="D27" s="26"/>
      <c r="F27" s="26"/>
      <c r="I27" s="52"/>
    </row>
    <row r="28" spans="1:11" s="24" customFormat="1" x14ac:dyDescent="0.2">
      <c r="A28"/>
      <c r="B28"/>
      <c r="C28"/>
      <c r="D28" s="26"/>
      <c r="I28" s="52"/>
    </row>
    <row r="29" spans="1:11" s="24" customFormat="1" x14ac:dyDescent="0.2">
      <c r="C29"/>
      <c r="D29" s="26"/>
      <c r="H29" s="26"/>
      <c r="I29" s="52"/>
    </row>
    <row r="30" spans="1:11" s="24" customFormat="1" x14ac:dyDescent="0.2">
      <c r="B30" s="24" t="s">
        <v>636</v>
      </c>
      <c r="C30" s="24" t="s">
        <v>637</v>
      </c>
      <c r="D30" s="26"/>
      <c r="F30" s="24" t="s">
        <v>654</v>
      </c>
      <c r="G30" s="110">
        <v>4629.58</v>
      </c>
      <c r="H30" s="26"/>
      <c r="I30" s="52"/>
    </row>
    <row r="31" spans="1:11" s="24" customFormat="1" x14ac:dyDescent="0.2">
      <c r="A31" s="20" t="s">
        <v>607</v>
      </c>
      <c r="B31" s="109">
        <v>9721.73</v>
      </c>
      <c r="C31" s="21">
        <v>183</v>
      </c>
      <c r="D31" s="26"/>
      <c r="F31" s="24" t="s">
        <v>655</v>
      </c>
      <c r="G31" s="24">
        <v>474.31</v>
      </c>
      <c r="H31" s="26"/>
      <c r="I31" s="52"/>
    </row>
    <row r="32" spans="1:11" s="24" customFormat="1" x14ac:dyDescent="0.2">
      <c r="A32" s="20" t="s">
        <v>597</v>
      </c>
      <c r="B32" s="109">
        <v>12766.06</v>
      </c>
      <c r="C32" s="21">
        <v>411.14</v>
      </c>
      <c r="D32" s="26"/>
      <c r="E32" s="101"/>
      <c r="H32" s="26"/>
      <c r="I32" s="52"/>
    </row>
    <row r="33" spans="1:9" s="24" customFormat="1" x14ac:dyDescent="0.2">
      <c r="A33" s="20" t="s">
        <v>600</v>
      </c>
      <c r="B33" s="109">
        <v>4025</v>
      </c>
      <c r="C33" s="21">
        <v>69</v>
      </c>
      <c r="D33" s="26"/>
      <c r="E33" s="101"/>
      <c r="H33" s="26"/>
      <c r="I33" s="26"/>
    </row>
    <row r="34" spans="1:9" s="24" customFormat="1" x14ac:dyDescent="0.2">
      <c r="A34" s="20" t="s">
        <v>629</v>
      </c>
      <c r="B34" s="109">
        <v>6140.59</v>
      </c>
      <c r="C34" s="21">
        <v>65</v>
      </c>
      <c r="D34" s="26"/>
      <c r="E34" s="101"/>
      <c r="H34" s="26"/>
      <c r="I34" s="26"/>
    </row>
    <row r="35" spans="1:9" s="24" customFormat="1" x14ac:dyDescent="0.2">
      <c r="A35" s="25" t="s">
        <v>659</v>
      </c>
      <c r="B35" s="27">
        <v>0</v>
      </c>
      <c r="C35" s="25"/>
      <c r="D35" s="26"/>
      <c r="E35" s="104"/>
      <c r="H35" s="26"/>
      <c r="I35" s="26"/>
    </row>
    <row r="36" spans="1:9" s="24" customFormat="1" x14ac:dyDescent="0.2">
      <c r="A36" s="25" t="s">
        <v>658</v>
      </c>
      <c r="B36" s="27">
        <v>0</v>
      </c>
      <c r="C36" s="27"/>
      <c r="D36" s="26"/>
      <c r="E36" s="101"/>
      <c r="H36" s="26"/>
      <c r="I36" s="26"/>
    </row>
    <row r="37" spans="1:9" s="24" customFormat="1" x14ac:dyDescent="0.2">
      <c r="A37" s="25" t="s">
        <v>632</v>
      </c>
      <c r="B37" s="27">
        <v>0</v>
      </c>
      <c r="C37" s="27"/>
      <c r="D37" s="26"/>
      <c r="E37" s="101"/>
      <c r="H37" s="26"/>
      <c r="I37" s="26"/>
    </row>
    <row r="38" spans="1:9" s="24" customFormat="1" x14ac:dyDescent="0.2">
      <c r="H38" s="26"/>
      <c r="I38" s="26"/>
    </row>
    <row r="39" spans="1:9" s="24" customFormat="1" x14ac:dyDescent="0.2">
      <c r="H39" s="26"/>
      <c r="I39" s="26"/>
    </row>
    <row r="40" spans="1:9" s="24" customFormat="1" x14ac:dyDescent="0.2">
      <c r="H40" s="26"/>
      <c r="I40" s="26"/>
    </row>
    <row r="41" spans="1:9" s="24" customFormat="1" x14ac:dyDescent="0.2">
      <c r="A41" s="26"/>
      <c r="H41" s="26"/>
      <c r="I41" s="26"/>
    </row>
    <row r="42" spans="1:9" s="24" customFormat="1" x14ac:dyDescent="0.2">
      <c r="A42" s="26"/>
      <c r="F42" s="108"/>
      <c r="G42" s="45"/>
      <c r="H42" s="26"/>
      <c r="I42" s="26"/>
    </row>
    <row r="43" spans="1:9" s="24" customFormat="1" x14ac:dyDescent="0.2">
      <c r="A43" s="26"/>
      <c r="F43" s="26"/>
      <c r="G43" s="46"/>
      <c r="H43" s="26"/>
      <c r="I43" s="26"/>
    </row>
    <row r="44" spans="1:9" s="24" customFormat="1" x14ac:dyDescent="0.2">
      <c r="A44" s="26"/>
      <c r="C44" s="26"/>
      <c r="F44" s="26"/>
      <c r="G44" s="46"/>
      <c r="H44" s="26"/>
      <c r="I44" s="26"/>
    </row>
    <row r="45" spans="1:9" s="24" customFormat="1" x14ac:dyDescent="0.2">
      <c r="A45" s="26"/>
      <c r="C45" s="26"/>
      <c r="F45" s="26"/>
      <c r="G45" s="46"/>
      <c r="H45" s="26"/>
      <c r="I45" s="26"/>
    </row>
    <row r="46" spans="1:9" s="24" customFormat="1" x14ac:dyDescent="0.2">
      <c r="A46" s="26"/>
      <c r="C46" s="26"/>
      <c r="F46"/>
      <c r="G46" s="46"/>
      <c r="H46" s="26"/>
      <c r="I46" s="26"/>
    </row>
    <row r="47" spans="1:9" s="24" customFormat="1" x14ac:dyDescent="0.2">
      <c r="A47" s="26"/>
      <c r="C47" s="26"/>
      <c r="F47" s="26"/>
      <c r="G47" s="26"/>
      <c r="H47" s="26"/>
      <c r="I47" s="26"/>
    </row>
    <row r="48" spans="1:9" s="24" customFormat="1" x14ac:dyDescent="0.2">
      <c r="F48" s="26"/>
      <c r="G48" s="26"/>
      <c r="I48" s="26"/>
    </row>
    <row r="49" spans="1:9" s="24" customFormat="1" x14ac:dyDescent="0.2">
      <c r="A49" s="26"/>
      <c r="C49" s="26"/>
      <c r="F49" s="26"/>
      <c r="G49" s="26"/>
      <c r="I49" s="26"/>
    </row>
    <row r="50" spans="1:9" s="24" customFormat="1" x14ac:dyDescent="0.2">
      <c r="A50" s="26"/>
      <c r="C50" s="26"/>
      <c r="F50" s="26"/>
      <c r="G50" s="26"/>
      <c r="H50" s="26"/>
    </row>
    <row r="51" spans="1:9" s="24" customFormat="1" x14ac:dyDescent="0.2">
      <c r="A51" s="26"/>
      <c r="C51" s="26"/>
      <c r="F51" s="26"/>
      <c r="G51" s="26"/>
      <c r="H51" s="26"/>
    </row>
    <row r="52" spans="1:9" s="26" customFormat="1" x14ac:dyDescent="0.2">
      <c r="A52" s="24"/>
      <c r="B52" s="24"/>
      <c r="C52" s="24"/>
    </row>
    <row r="53" spans="1:9" s="26" customFormat="1" x14ac:dyDescent="0.2">
      <c r="C53"/>
      <c r="H53" s="24"/>
    </row>
    <row r="54" spans="1:9" s="26" customFormat="1" x14ac:dyDescent="0.2">
      <c r="A54" s="91"/>
      <c r="C54"/>
      <c r="G54" s="24"/>
      <c r="H54" s="24"/>
    </row>
    <row r="55" spans="1:9" s="26" customFormat="1" x14ac:dyDescent="0.2">
      <c r="A55" s="91"/>
      <c r="B55"/>
      <c r="C55"/>
      <c r="H55" s="24"/>
    </row>
    <row r="56" spans="1:9" s="24" customFormat="1" x14ac:dyDescent="0.2">
      <c r="A56" s="91"/>
      <c r="B56" s="26"/>
      <c r="C56"/>
      <c r="F56" s="26"/>
      <c r="G56" s="26"/>
      <c r="H56" s="26"/>
      <c r="I56" s="26"/>
    </row>
    <row r="57" spans="1:9" s="26" customFormat="1" x14ac:dyDescent="0.2">
      <c r="A57" s="91"/>
      <c r="C57"/>
    </row>
    <row r="58" spans="1:9" s="26" customFormat="1" x14ac:dyDescent="0.2">
      <c r="A58"/>
      <c r="B58"/>
      <c r="C58"/>
      <c r="H58"/>
    </row>
    <row r="59" spans="1:9" s="26" customFormat="1" x14ac:dyDescent="0.2">
      <c r="A59"/>
      <c r="B59"/>
      <c r="C59"/>
      <c r="H59"/>
    </row>
    <row r="60" spans="1:9" s="24" customFormat="1" x14ac:dyDescent="0.2">
      <c r="A60" s="91"/>
      <c r="B60"/>
      <c r="C60"/>
      <c r="F60" s="26"/>
      <c r="G60" s="26"/>
      <c r="H60" s="26"/>
      <c r="I60" s="26"/>
    </row>
    <row r="61" spans="1:9" s="24" customFormat="1" x14ac:dyDescent="0.2">
      <c r="A61" s="91"/>
      <c r="B61"/>
      <c r="C61"/>
      <c r="D61" s="26"/>
      <c r="F61"/>
      <c r="G61" s="26"/>
      <c r="H61" s="26"/>
      <c r="I61" s="26"/>
    </row>
    <row r="62" spans="1:9" s="24" customFormat="1" x14ac:dyDescent="0.2">
      <c r="A62" s="91"/>
      <c r="B62"/>
      <c r="C62"/>
      <c r="D62" s="26"/>
      <c r="F62"/>
      <c r="G62" s="26"/>
      <c r="H62"/>
      <c r="I62" s="26"/>
    </row>
    <row r="63" spans="1:9" s="26" customFormat="1" x14ac:dyDescent="0.2">
      <c r="A63" s="91"/>
      <c r="B63"/>
      <c r="C63"/>
      <c r="G63"/>
      <c r="H63"/>
    </row>
    <row r="64" spans="1:9" s="26" customFormat="1" x14ac:dyDescent="0.2">
      <c r="A64" s="91"/>
      <c r="B64"/>
      <c r="C64"/>
      <c r="G64"/>
      <c r="H64"/>
      <c r="I64"/>
    </row>
    <row r="65" spans="1:9" x14ac:dyDescent="0.2">
      <c r="A65" s="91"/>
    </row>
    <row r="66" spans="1:9" x14ac:dyDescent="0.2">
      <c r="A66" s="91"/>
    </row>
    <row r="67" spans="1:9" s="26" customFormat="1" x14ac:dyDescent="0.2">
      <c r="A67" s="91"/>
      <c r="B67"/>
      <c r="C67"/>
      <c r="F67"/>
      <c r="G67"/>
      <c r="H67"/>
      <c r="I67"/>
    </row>
    <row r="68" spans="1:9" s="26" customFormat="1" x14ac:dyDescent="0.2">
      <c r="A68" s="91"/>
      <c r="B68"/>
      <c r="C68"/>
      <c r="F68"/>
      <c r="G68"/>
      <c r="H68"/>
      <c r="I68"/>
    </row>
    <row r="69" spans="1:9" x14ac:dyDescent="0.2">
      <c r="A69" s="91"/>
    </row>
    <row r="70" spans="1:9" x14ac:dyDescent="0.2">
      <c r="A70" s="91"/>
    </row>
    <row r="71" spans="1:9" x14ac:dyDescent="0.2">
      <c r="A71" s="91"/>
    </row>
    <row r="72" spans="1:9" x14ac:dyDescent="0.2">
      <c r="A72" s="91"/>
    </row>
    <row r="73" spans="1:9" x14ac:dyDescent="0.2">
      <c r="A73" s="91"/>
    </row>
    <row r="74" spans="1:9" x14ac:dyDescent="0.2">
      <c r="A74" s="91"/>
    </row>
    <row r="75" spans="1:9" x14ac:dyDescent="0.2">
      <c r="A75" s="91"/>
    </row>
    <row r="76" spans="1:9" x14ac:dyDescent="0.2">
      <c r="A76" s="91"/>
    </row>
  </sheetData>
  <pageMargins left="0.7" right="0.7" top="0.75" bottom="0.75" header="0.3" footer="0.3"/>
  <pageSetup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CF50-2184-47B7-A216-F01B4BCDA924}">
  <dimension ref="A1:K74"/>
  <sheetViews>
    <sheetView topLeftCell="E1" workbookViewId="0">
      <selection activeCell="C9" sqref="C9:C24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31.832031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638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3277.24</v>
      </c>
      <c r="C3" s="51">
        <v>3277.24</v>
      </c>
      <c r="F3" s="33">
        <f>B3+B4</f>
        <v>4574.7199999999993</v>
      </c>
      <c r="G3" s="27">
        <f>C9+C10+C11+C12+C13+C14+C15+C16+C17</f>
        <v>3342.33</v>
      </c>
      <c r="H3" s="27">
        <f>F3-G3</f>
        <v>1232.3899999999994</v>
      </c>
    </row>
    <row r="4" spans="1:11" x14ac:dyDescent="0.2">
      <c r="A4" s="26" t="s">
        <v>265</v>
      </c>
      <c r="B4">
        <v>1297.48</v>
      </c>
      <c r="C4">
        <v>1297.48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4574.7199999999993</v>
      </c>
      <c r="G6" s="27">
        <f>C20+C21+C22+C23+C24</f>
        <v>961.52</v>
      </c>
      <c r="H6" s="27">
        <f>F6-G6</f>
        <v>3613.1999999999994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293</v>
      </c>
      <c r="B9" s="20" t="s">
        <v>389</v>
      </c>
      <c r="C9" s="22">
        <v>1568.84</v>
      </c>
      <c r="D9" s="26"/>
      <c r="F9" s="26"/>
      <c r="H9" s="26"/>
      <c r="I9" s="26"/>
      <c r="J9" s="45"/>
    </row>
    <row r="10" spans="1:11" s="24" customFormat="1" x14ac:dyDescent="0.2">
      <c r="A10" s="20" t="s">
        <v>301</v>
      </c>
      <c r="B10" s="20" t="s">
        <v>399</v>
      </c>
      <c r="C10" s="55">
        <v>72.709999999999994</v>
      </c>
      <c r="D10" s="26"/>
      <c r="F10" s="26"/>
      <c r="G10" s="26"/>
      <c r="H10" s="26"/>
      <c r="I10" s="26"/>
      <c r="J10" s="45"/>
    </row>
    <row r="11" spans="1:11" s="24" customFormat="1" x14ac:dyDescent="0.2">
      <c r="A11" s="20" t="s">
        <v>311</v>
      </c>
      <c r="B11" s="20" t="s">
        <v>394</v>
      </c>
      <c r="C11" s="21">
        <v>33.69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633</v>
      </c>
      <c r="B12" s="20" t="s">
        <v>518</v>
      </c>
      <c r="C12" s="21">
        <v>542.02</v>
      </c>
      <c r="D12" s="26"/>
      <c r="F12" s="25">
        <f>(H3+H6)/2</f>
        <v>2422.7949999999992</v>
      </c>
      <c r="G12" s="26"/>
      <c r="H12" s="26"/>
      <c r="I12" s="26"/>
      <c r="K12" s="45"/>
    </row>
    <row r="13" spans="1:11" s="24" customFormat="1" x14ac:dyDescent="0.2">
      <c r="A13" s="20" t="s">
        <v>626</v>
      </c>
      <c r="B13" s="20" t="s">
        <v>398</v>
      </c>
      <c r="C13" s="21">
        <v>148.82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594</v>
      </c>
      <c r="B14" s="20" t="s">
        <v>398</v>
      </c>
      <c r="C14" s="21">
        <v>67.930000000000007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603</v>
      </c>
      <c r="B15" s="20" t="s">
        <v>401</v>
      </c>
      <c r="C15" s="21">
        <v>184.4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628</v>
      </c>
      <c r="B16" s="20" t="s">
        <v>635</v>
      </c>
      <c r="C16" s="21">
        <v>434.01</v>
      </c>
      <c r="D16" s="26"/>
      <c r="F16" s="26"/>
      <c r="I16" s="26"/>
      <c r="J16" s="66"/>
      <c r="K16" s="45"/>
    </row>
    <row r="17" spans="1:11" s="24" customFormat="1" x14ac:dyDescent="0.2">
      <c r="A17" s="20" t="s">
        <v>639</v>
      </c>
      <c r="B17" s="20" t="s">
        <v>400</v>
      </c>
      <c r="C17" s="21">
        <v>289.91000000000003</v>
      </c>
      <c r="D17" s="90"/>
      <c r="F17" s="26"/>
      <c r="I17" s="26"/>
      <c r="J17" s="26"/>
      <c r="K17" s="26"/>
    </row>
    <row r="18" spans="1:11" s="24" customFormat="1" x14ac:dyDescent="0.2">
      <c r="A18" s="29"/>
      <c r="B18" s="29"/>
      <c r="C18" s="30"/>
      <c r="D18" s="26"/>
      <c r="F18" s="26"/>
      <c r="I18" s="26"/>
      <c r="J18" s="26"/>
      <c r="K18" s="26"/>
    </row>
    <row r="19" spans="1:11" s="24" customFormat="1" x14ac:dyDescent="0.2">
      <c r="A19" s="32" t="s">
        <v>13</v>
      </c>
      <c r="B19" s="25"/>
      <c r="C19" s="27"/>
      <c r="D19" s="26"/>
      <c r="F19" s="26"/>
      <c r="J19" s="41"/>
    </row>
    <row r="20" spans="1:11" s="24" customFormat="1" x14ac:dyDescent="0.2">
      <c r="A20" s="20" t="s">
        <v>598</v>
      </c>
      <c r="B20" s="20" t="s">
        <v>448</v>
      </c>
      <c r="C20" s="21">
        <v>484</v>
      </c>
      <c r="D20" s="26"/>
      <c r="F20" s="26"/>
    </row>
    <row r="21" spans="1:11" s="24" customFormat="1" x14ac:dyDescent="0.2">
      <c r="A21" s="20" t="s">
        <v>267</v>
      </c>
      <c r="B21" s="20" t="s">
        <v>404</v>
      </c>
      <c r="C21" s="55">
        <v>33.4</v>
      </c>
      <c r="D21" s="26"/>
      <c r="F21" s="26"/>
    </row>
    <row r="22" spans="1:11" s="24" customFormat="1" x14ac:dyDescent="0.2">
      <c r="A22" s="20" t="s">
        <v>79</v>
      </c>
      <c r="B22" s="20" t="s">
        <v>390</v>
      </c>
      <c r="C22" s="21">
        <v>196.61</v>
      </c>
      <c r="D22" s="26"/>
      <c r="F22" s="26"/>
      <c r="I22" s="102"/>
    </row>
    <row r="23" spans="1:11" s="24" customFormat="1" x14ac:dyDescent="0.2">
      <c r="A23" s="20" t="s">
        <v>302</v>
      </c>
      <c r="B23" s="20" t="s">
        <v>388</v>
      </c>
      <c r="C23" s="21">
        <v>230</v>
      </c>
      <c r="D23" s="26"/>
      <c r="F23" s="26"/>
      <c r="I23" s="102"/>
    </row>
    <row r="24" spans="1:11" s="24" customFormat="1" x14ac:dyDescent="0.2">
      <c r="A24" s="20" t="s">
        <v>601</v>
      </c>
      <c r="B24" s="20" t="s">
        <v>395</v>
      </c>
      <c r="C24" s="21">
        <v>17.510000000000002</v>
      </c>
      <c r="D24" s="26"/>
      <c r="F24" s="26"/>
      <c r="I24" s="102"/>
    </row>
    <row r="25" spans="1:11" s="24" customFormat="1" x14ac:dyDescent="0.2">
      <c r="A25" s="14"/>
      <c r="B25" s="14"/>
      <c r="C25" s="14"/>
      <c r="D25" s="26"/>
      <c r="F25" s="26"/>
      <c r="I25" s="102"/>
    </row>
    <row r="26" spans="1:11" s="24" customFormat="1" x14ac:dyDescent="0.2">
      <c r="A26"/>
      <c r="B26"/>
      <c r="C26"/>
      <c r="F26" s="26"/>
      <c r="I26" s="102"/>
    </row>
    <row r="27" spans="1:11" s="24" customFormat="1" x14ac:dyDescent="0.2">
      <c r="C27"/>
      <c r="D27" s="26"/>
      <c r="F27" s="26"/>
      <c r="I27" s="52"/>
    </row>
    <row r="28" spans="1:11" s="24" customFormat="1" x14ac:dyDescent="0.2">
      <c r="B28" s="24" t="s">
        <v>636</v>
      </c>
      <c r="C28" s="24" t="s">
        <v>637</v>
      </c>
      <c r="D28" s="26"/>
      <c r="F28" s="101">
        <v>279900</v>
      </c>
      <c r="I28" s="52"/>
    </row>
    <row r="29" spans="1:11" s="24" customFormat="1" x14ac:dyDescent="0.2">
      <c r="A29" s="25" t="s">
        <v>607</v>
      </c>
      <c r="B29" s="103">
        <v>9871.73</v>
      </c>
      <c r="C29" s="21">
        <v>183</v>
      </c>
      <c r="D29" s="26"/>
      <c r="F29" s="105">
        <v>11196</v>
      </c>
      <c r="G29" s="107" t="s">
        <v>649</v>
      </c>
      <c r="H29" s="26"/>
      <c r="I29" s="52"/>
    </row>
    <row r="30" spans="1:11" s="24" customFormat="1" x14ac:dyDescent="0.2">
      <c r="A30" s="25" t="s">
        <v>597</v>
      </c>
      <c r="B30" s="103">
        <v>12489.9</v>
      </c>
      <c r="C30" s="21">
        <v>411.14</v>
      </c>
      <c r="D30" s="26"/>
      <c r="F30" s="101">
        <v>268704</v>
      </c>
      <c r="G30" s="26"/>
      <c r="H30" s="26"/>
      <c r="I30" s="52"/>
    </row>
    <row r="31" spans="1:11" s="24" customFormat="1" x14ac:dyDescent="0.2">
      <c r="A31" s="25" t="s">
        <v>600</v>
      </c>
      <c r="B31" s="103">
        <v>4094</v>
      </c>
      <c r="C31" s="27">
        <v>69</v>
      </c>
      <c r="D31" s="26"/>
      <c r="F31" s="26"/>
      <c r="G31" s="26"/>
      <c r="H31" s="26"/>
      <c r="I31" s="52"/>
    </row>
    <row r="32" spans="1:11" s="24" customFormat="1" x14ac:dyDescent="0.2">
      <c r="A32" s="25" t="s">
        <v>629</v>
      </c>
      <c r="B32" s="25">
        <v>1913.44</v>
      </c>
      <c r="C32" s="27">
        <v>65</v>
      </c>
      <c r="D32" s="26"/>
      <c r="E32" s="101"/>
      <c r="F32" s="101">
        <v>266704</v>
      </c>
      <c r="G32" s="46" t="s">
        <v>641</v>
      </c>
      <c r="H32" s="26"/>
      <c r="I32" s="52"/>
    </row>
    <row r="33" spans="1:9" s="24" customFormat="1" x14ac:dyDescent="0.2">
      <c r="A33" s="25" t="s">
        <v>630</v>
      </c>
      <c r="B33" s="27">
        <v>590.80999999999995</v>
      </c>
      <c r="C33" s="25"/>
      <c r="D33" s="26"/>
      <c r="E33" s="101"/>
      <c r="F33" s="105">
        <v>29654</v>
      </c>
      <c r="G33" s="46" t="s">
        <v>642</v>
      </c>
      <c r="H33" s="26"/>
      <c r="I33" s="26"/>
    </row>
    <row r="34" spans="1:9" s="24" customFormat="1" x14ac:dyDescent="0.2">
      <c r="A34" s="25" t="s">
        <v>631</v>
      </c>
      <c r="B34" s="25">
        <v>0</v>
      </c>
      <c r="C34" s="27"/>
      <c r="D34" s="26"/>
      <c r="E34" s="101"/>
      <c r="F34" s="46" t="s">
        <v>643</v>
      </c>
      <c r="G34" s="26"/>
      <c r="H34" s="26"/>
      <c r="I34" s="26"/>
    </row>
    <row r="35" spans="1:9" s="24" customFormat="1" x14ac:dyDescent="0.2">
      <c r="A35" s="25" t="s">
        <v>632</v>
      </c>
      <c r="B35" s="27">
        <v>694.27</v>
      </c>
      <c r="C35" s="27"/>
      <c r="D35" s="26"/>
      <c r="E35" s="104"/>
      <c r="F35" s="26"/>
      <c r="G35" s="26"/>
      <c r="H35" s="26"/>
      <c r="I35" s="26"/>
    </row>
    <row r="36" spans="1:9" s="24" customFormat="1" x14ac:dyDescent="0.2">
      <c r="D36" s="26"/>
      <c r="E36" s="101"/>
      <c r="F36" s="101">
        <v>237050</v>
      </c>
      <c r="G36" s="46"/>
      <c r="H36" s="26"/>
      <c r="I36" s="26"/>
    </row>
    <row r="37" spans="1:9" s="24" customFormat="1" x14ac:dyDescent="0.2">
      <c r="D37" s="26"/>
      <c r="E37" s="101"/>
      <c r="F37" s="105">
        <v>21495</v>
      </c>
      <c r="G37" s="46" t="s">
        <v>644</v>
      </c>
      <c r="H37" s="26"/>
      <c r="I37" s="26"/>
    </row>
    <row r="38" spans="1:9" s="24" customFormat="1" x14ac:dyDescent="0.2">
      <c r="F38" s="46" t="s">
        <v>645</v>
      </c>
      <c r="G38" s="51"/>
      <c r="H38" s="26"/>
      <c r="I38" s="26"/>
    </row>
    <row r="39" spans="1:9" s="24" customFormat="1" x14ac:dyDescent="0.2">
      <c r="F39" s="26"/>
      <c r="G39" s="46"/>
      <c r="H39" s="26"/>
      <c r="I39" s="26"/>
    </row>
    <row r="40" spans="1:9" s="24" customFormat="1" x14ac:dyDescent="0.2">
      <c r="F40" s="101">
        <v>215555</v>
      </c>
      <c r="G40" s="46"/>
      <c r="H40" s="26"/>
      <c r="I40" s="26"/>
    </row>
    <row r="41" spans="1:9" s="24" customFormat="1" x14ac:dyDescent="0.2">
      <c r="F41" s="106">
        <v>205638.6</v>
      </c>
      <c r="G41" s="46" t="s">
        <v>646</v>
      </c>
      <c r="H41" s="26"/>
      <c r="I41" s="26"/>
    </row>
    <row r="42" spans="1:9" s="24" customFormat="1" x14ac:dyDescent="0.2">
      <c r="A42" s="26"/>
      <c r="B42" s="26"/>
      <c r="C42" s="26"/>
      <c r="F42" s="45" t="s">
        <v>647</v>
      </c>
      <c r="G42" s="45" t="s">
        <v>648</v>
      </c>
      <c r="H42" s="26"/>
      <c r="I42" s="26"/>
    </row>
    <row r="43" spans="1:9" s="24" customFormat="1" x14ac:dyDescent="0.2">
      <c r="A43" s="26"/>
      <c r="B43" s="26"/>
      <c r="C43" s="26"/>
      <c r="F43" s="26"/>
      <c r="G43" s="46"/>
      <c r="H43" s="26"/>
      <c r="I43" s="26"/>
    </row>
    <row r="44" spans="1:9" s="24" customFormat="1" x14ac:dyDescent="0.2">
      <c r="A44" s="26"/>
      <c r="B44" s="26"/>
      <c r="C44" s="26"/>
      <c r="F44" s="26"/>
      <c r="G44" s="46"/>
      <c r="H44" s="26"/>
      <c r="I44" s="26"/>
    </row>
    <row r="45" spans="1:9" s="24" customFormat="1" x14ac:dyDescent="0.2">
      <c r="A45" s="26"/>
      <c r="B45" s="26"/>
      <c r="C45" s="26"/>
      <c r="F45" s="26"/>
      <c r="G45" s="46"/>
      <c r="H45" s="26"/>
      <c r="I45" s="26"/>
    </row>
    <row r="46" spans="1:9" s="24" customFormat="1" x14ac:dyDescent="0.2">
      <c r="F46"/>
      <c r="G46" s="46"/>
      <c r="H46" s="26"/>
      <c r="I46" s="26"/>
    </row>
    <row r="47" spans="1:9" s="24" customFormat="1" x14ac:dyDescent="0.2">
      <c r="A47" s="26"/>
      <c r="B47" s="26"/>
      <c r="C47" s="26"/>
      <c r="F47" s="26"/>
      <c r="G47" s="26"/>
      <c r="H47" s="26"/>
      <c r="I47" s="26"/>
    </row>
    <row r="48" spans="1:9" s="24" customFormat="1" x14ac:dyDescent="0.2">
      <c r="A48" s="26"/>
      <c r="B48" s="26"/>
      <c r="C48" s="26"/>
      <c r="F48" s="26"/>
      <c r="G48" s="26"/>
      <c r="I48" s="26"/>
    </row>
    <row r="49" spans="1:9" s="24" customFormat="1" x14ac:dyDescent="0.2">
      <c r="A49" s="26"/>
      <c r="B49" s="26"/>
      <c r="C49" s="26"/>
      <c r="F49" s="26"/>
      <c r="G49" s="26"/>
      <c r="I49" s="26"/>
    </row>
    <row r="50" spans="1:9" s="24" customFormat="1" x14ac:dyDescent="0.2">
      <c r="F50" s="26"/>
      <c r="G50" s="26"/>
      <c r="H50" s="26"/>
    </row>
    <row r="51" spans="1:9" s="24" customFormat="1" x14ac:dyDescent="0.2">
      <c r="A51" s="26"/>
      <c r="B51" s="26"/>
      <c r="C51"/>
      <c r="F51" s="26"/>
      <c r="G51" s="26"/>
      <c r="H51" s="26"/>
    </row>
    <row r="52" spans="1:9" s="26" customFormat="1" x14ac:dyDescent="0.2">
      <c r="A52" s="91"/>
      <c r="C52"/>
    </row>
    <row r="53" spans="1:9" s="26" customFormat="1" x14ac:dyDescent="0.2">
      <c r="A53" s="91"/>
      <c r="B53"/>
      <c r="C53"/>
      <c r="H53" s="24"/>
    </row>
    <row r="54" spans="1:9" s="26" customFormat="1" x14ac:dyDescent="0.2">
      <c r="A54" s="91"/>
      <c r="C54"/>
      <c r="G54" s="24"/>
      <c r="H54" s="24"/>
    </row>
    <row r="55" spans="1:9" s="26" customFormat="1" x14ac:dyDescent="0.2">
      <c r="A55" s="91"/>
      <c r="C55"/>
      <c r="H55" s="24"/>
    </row>
    <row r="56" spans="1:9" s="24" customFormat="1" x14ac:dyDescent="0.2">
      <c r="A56"/>
      <c r="B56"/>
      <c r="C56"/>
      <c r="F56" s="26"/>
      <c r="G56" s="26"/>
      <c r="H56" s="26"/>
      <c r="I56" s="26"/>
    </row>
    <row r="57" spans="1:9" s="26" customFormat="1" x14ac:dyDescent="0.2">
      <c r="A57"/>
      <c r="B57"/>
      <c r="C57"/>
    </row>
    <row r="58" spans="1:9" s="26" customFormat="1" x14ac:dyDescent="0.2">
      <c r="A58" s="91"/>
      <c r="B58"/>
      <c r="C58"/>
      <c r="H58"/>
    </row>
    <row r="59" spans="1:9" s="26" customFormat="1" x14ac:dyDescent="0.2">
      <c r="A59" s="91"/>
      <c r="B59"/>
      <c r="C59"/>
      <c r="H59"/>
    </row>
    <row r="60" spans="1:9" s="24" customFormat="1" x14ac:dyDescent="0.2">
      <c r="A60" s="91"/>
      <c r="B60"/>
      <c r="C60"/>
      <c r="F60" s="26"/>
      <c r="G60" s="26"/>
      <c r="H60" s="26"/>
      <c r="I60" s="26"/>
    </row>
    <row r="61" spans="1:9" s="24" customFormat="1" x14ac:dyDescent="0.2">
      <c r="A61" s="91"/>
      <c r="B61"/>
      <c r="C61"/>
      <c r="D61" s="26"/>
      <c r="F61"/>
      <c r="G61" s="26"/>
      <c r="H61" s="26"/>
      <c r="I61" s="26"/>
    </row>
    <row r="62" spans="1:9" s="24" customFormat="1" x14ac:dyDescent="0.2">
      <c r="A62" s="91"/>
      <c r="B62"/>
      <c r="C62"/>
      <c r="D62" s="26"/>
      <c r="F62"/>
      <c r="G62" s="26"/>
      <c r="H62"/>
      <c r="I62" s="26"/>
    </row>
    <row r="63" spans="1:9" s="26" customFormat="1" x14ac:dyDescent="0.2">
      <c r="A63" s="91"/>
      <c r="B63"/>
      <c r="C63"/>
      <c r="G63"/>
      <c r="H63"/>
    </row>
    <row r="64" spans="1:9" s="26" customFormat="1" x14ac:dyDescent="0.2">
      <c r="A64" s="91"/>
      <c r="B64"/>
      <c r="C64"/>
      <c r="G64"/>
      <c r="H64"/>
      <c r="I64"/>
    </row>
    <row r="65" spans="1:9" x14ac:dyDescent="0.2">
      <c r="A65" s="91"/>
    </row>
    <row r="66" spans="1:9" x14ac:dyDescent="0.2">
      <c r="A66" s="91"/>
    </row>
    <row r="67" spans="1:9" s="26" customFormat="1" x14ac:dyDescent="0.2">
      <c r="A67" s="91"/>
      <c r="B67"/>
      <c r="C67"/>
      <c r="F67"/>
      <c r="G67"/>
      <c r="H67"/>
      <c r="I67"/>
    </row>
    <row r="68" spans="1:9" s="26" customFormat="1" x14ac:dyDescent="0.2">
      <c r="A68" s="91"/>
      <c r="B68"/>
      <c r="C68"/>
      <c r="F68"/>
      <c r="G68"/>
      <c r="H68"/>
      <c r="I68"/>
    </row>
    <row r="69" spans="1:9" x14ac:dyDescent="0.2">
      <c r="A69" s="91"/>
    </row>
    <row r="70" spans="1:9" x14ac:dyDescent="0.2">
      <c r="A70" s="91"/>
    </row>
    <row r="71" spans="1:9" x14ac:dyDescent="0.2">
      <c r="A71" s="91"/>
    </row>
    <row r="72" spans="1:9" x14ac:dyDescent="0.2">
      <c r="A72" s="91"/>
    </row>
    <row r="73" spans="1:9" x14ac:dyDescent="0.2">
      <c r="A73" s="91"/>
    </row>
    <row r="74" spans="1:9" x14ac:dyDescent="0.2">
      <c r="A74" s="91"/>
    </row>
  </sheetData>
  <pageMargins left="0.7" right="0.7" top="0.75" bottom="0.75" header="0.3" footer="0.3"/>
  <pageSetup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2003-9628-4BD3-B37E-59E60DE71D39}">
  <dimension ref="A1:K74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29.6640625" bestFit="1" customWidth="1"/>
    <col min="8" max="8" width="21.6640625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634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3277.24</v>
      </c>
      <c r="C3" s="51">
        <v>3277.24</v>
      </c>
      <c r="F3" s="33">
        <f>B3+B4</f>
        <v>4574.7199999999993</v>
      </c>
      <c r="G3" s="27">
        <f>C9+C10+C11+C12+C13+C14+C15+C16+C17</f>
        <v>3323.74</v>
      </c>
      <c r="H3" s="27">
        <f>F3-G3</f>
        <v>1250.9799999999996</v>
      </c>
    </row>
    <row r="4" spans="1:11" x14ac:dyDescent="0.2">
      <c r="A4" s="26" t="s">
        <v>265</v>
      </c>
      <c r="B4">
        <v>1297.48</v>
      </c>
      <c r="C4">
        <v>1297.48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4574.7199999999993</v>
      </c>
      <c r="G6" s="27">
        <f>C20+C21+C22+C23+C24</f>
        <v>948.75</v>
      </c>
      <c r="H6" s="27">
        <f>F6-G6</f>
        <v>3625.9699999999993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293</v>
      </c>
      <c r="B9" s="20" t="s">
        <v>389</v>
      </c>
      <c r="C9" s="22">
        <v>1568.84</v>
      </c>
      <c r="D9" s="26"/>
      <c r="F9" s="26"/>
      <c r="G9" s="26"/>
      <c r="H9" s="26"/>
      <c r="I9" s="26"/>
      <c r="J9" s="45"/>
    </row>
    <row r="10" spans="1:11" s="24" customFormat="1" x14ac:dyDescent="0.2">
      <c r="A10" s="20" t="s">
        <v>301</v>
      </c>
      <c r="B10" s="20" t="s">
        <v>399</v>
      </c>
      <c r="C10" s="55">
        <v>72.709999999999994</v>
      </c>
      <c r="D10" s="26"/>
      <c r="F10" s="26"/>
      <c r="G10" s="44"/>
      <c r="H10" s="26"/>
      <c r="I10" s="26"/>
      <c r="J10" s="45"/>
    </row>
    <row r="11" spans="1:11" s="24" customFormat="1" x14ac:dyDescent="0.2">
      <c r="A11" s="20" t="s">
        <v>311</v>
      </c>
      <c r="B11" s="20" t="s">
        <v>394</v>
      </c>
      <c r="C11" s="21">
        <v>32.1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633</v>
      </c>
      <c r="B12" s="20" t="s">
        <v>518</v>
      </c>
      <c r="C12" s="21">
        <v>542.02</v>
      </c>
      <c r="D12" s="26"/>
      <c r="F12" s="25">
        <f>(H3+H6)/2</f>
        <v>2438.4749999999995</v>
      </c>
      <c r="G12" s="26"/>
      <c r="H12" s="26"/>
      <c r="I12" s="26"/>
      <c r="K12" s="45"/>
    </row>
    <row r="13" spans="1:11" s="24" customFormat="1" x14ac:dyDescent="0.2">
      <c r="A13" s="20" t="s">
        <v>626</v>
      </c>
      <c r="B13" s="20" t="s">
        <v>398</v>
      </c>
      <c r="C13" s="21">
        <v>148.82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594</v>
      </c>
      <c r="B14" s="20" t="s">
        <v>398</v>
      </c>
      <c r="C14" s="21">
        <v>50.93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603</v>
      </c>
      <c r="B15" s="20" t="s">
        <v>401</v>
      </c>
      <c r="C15" s="21">
        <v>184.4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628</v>
      </c>
      <c r="B16" s="20" t="s">
        <v>635</v>
      </c>
      <c r="C16" s="21">
        <v>434.01</v>
      </c>
      <c r="D16" s="26"/>
      <c r="F16" s="26"/>
      <c r="I16" s="26"/>
      <c r="J16" s="66"/>
      <c r="K16" s="45"/>
    </row>
    <row r="17" spans="1:11" s="24" customFormat="1" x14ac:dyDescent="0.2">
      <c r="A17" s="20" t="s">
        <v>604</v>
      </c>
      <c r="B17" s="20" t="s">
        <v>400</v>
      </c>
      <c r="C17" s="21">
        <v>289.91000000000003</v>
      </c>
      <c r="D17" s="90"/>
      <c r="F17" s="26"/>
      <c r="I17" s="26"/>
      <c r="J17" s="26"/>
      <c r="K17" s="26"/>
    </row>
    <row r="18" spans="1:11" s="24" customFormat="1" x14ac:dyDescent="0.2">
      <c r="A18" s="29"/>
      <c r="B18" s="29"/>
      <c r="C18" s="30"/>
      <c r="D18" s="26"/>
      <c r="F18" s="26"/>
      <c r="I18" s="26"/>
      <c r="J18" s="26"/>
      <c r="K18" s="26"/>
    </row>
    <row r="19" spans="1:11" s="24" customFormat="1" x14ac:dyDescent="0.2">
      <c r="A19" s="32" t="s">
        <v>13</v>
      </c>
      <c r="B19" s="25"/>
      <c r="C19" s="27"/>
      <c r="D19" s="26"/>
      <c r="F19" s="26"/>
      <c r="J19" s="41"/>
    </row>
    <row r="20" spans="1:11" s="24" customFormat="1" x14ac:dyDescent="0.2">
      <c r="A20" s="20" t="s">
        <v>598</v>
      </c>
      <c r="B20" s="20" t="s">
        <v>448</v>
      </c>
      <c r="C20" s="21">
        <v>484</v>
      </c>
      <c r="D20" s="26"/>
      <c r="F20" s="26"/>
    </row>
    <row r="21" spans="1:11" s="24" customFormat="1" x14ac:dyDescent="0.2">
      <c r="A21" s="20" t="s">
        <v>267</v>
      </c>
      <c r="B21" s="20" t="s">
        <v>404</v>
      </c>
      <c r="C21" s="55">
        <v>33.4</v>
      </c>
      <c r="D21" s="26"/>
      <c r="F21" s="26"/>
    </row>
    <row r="22" spans="1:11" s="24" customFormat="1" x14ac:dyDescent="0.2">
      <c r="A22" s="20" t="s">
        <v>79</v>
      </c>
      <c r="B22" s="20" t="s">
        <v>390</v>
      </c>
      <c r="C22" s="21">
        <v>183.84</v>
      </c>
      <c r="D22" s="26"/>
      <c r="F22" s="26"/>
      <c r="I22" s="102"/>
    </row>
    <row r="23" spans="1:11" s="24" customFormat="1" x14ac:dyDescent="0.2">
      <c r="A23" s="20" t="s">
        <v>302</v>
      </c>
      <c r="B23" s="20" t="s">
        <v>388</v>
      </c>
      <c r="C23" s="21">
        <v>230</v>
      </c>
      <c r="D23" s="26"/>
      <c r="F23" s="26"/>
      <c r="I23" s="102"/>
    </row>
    <row r="24" spans="1:11" s="24" customFormat="1" x14ac:dyDescent="0.2">
      <c r="A24" s="20" t="s">
        <v>601</v>
      </c>
      <c r="B24" s="20" t="s">
        <v>395</v>
      </c>
      <c r="C24" s="21">
        <v>17.510000000000002</v>
      </c>
      <c r="D24" s="26"/>
      <c r="F24" s="26"/>
      <c r="I24" s="102"/>
    </row>
    <row r="25" spans="1:11" s="24" customFormat="1" x14ac:dyDescent="0.2">
      <c r="A25" s="14"/>
      <c r="B25" s="14"/>
      <c r="C25" s="14"/>
      <c r="D25" s="26"/>
      <c r="F25" s="26"/>
      <c r="I25" s="102"/>
    </row>
    <row r="26" spans="1:11" s="24" customFormat="1" x14ac:dyDescent="0.2">
      <c r="A26"/>
      <c r="B26"/>
      <c r="C26"/>
      <c r="F26" s="26"/>
      <c r="I26" s="102"/>
    </row>
    <row r="27" spans="1:11" s="24" customFormat="1" x14ac:dyDescent="0.2">
      <c r="C27"/>
      <c r="D27" s="26"/>
      <c r="F27" s="26"/>
      <c r="I27" s="52"/>
    </row>
    <row r="28" spans="1:11" s="24" customFormat="1" x14ac:dyDescent="0.2">
      <c r="B28" s="24" t="s">
        <v>636</v>
      </c>
      <c r="C28" s="24" t="s">
        <v>637</v>
      </c>
      <c r="D28" s="26"/>
      <c r="F28" s="26"/>
      <c r="I28" s="52"/>
    </row>
    <row r="29" spans="1:11" s="24" customFormat="1" x14ac:dyDescent="0.2">
      <c r="A29" s="25" t="s">
        <v>607</v>
      </c>
      <c r="B29" s="103">
        <v>10021.73</v>
      </c>
      <c r="C29" s="27">
        <v>183</v>
      </c>
      <c r="D29" s="26"/>
      <c r="F29" s="26"/>
      <c r="G29" s="26"/>
      <c r="H29" s="26"/>
      <c r="I29" s="52"/>
    </row>
    <row r="30" spans="1:11" s="24" customFormat="1" x14ac:dyDescent="0.2">
      <c r="A30" s="25" t="s">
        <v>597</v>
      </c>
      <c r="B30" s="103">
        <v>12766.06</v>
      </c>
      <c r="C30" s="27">
        <v>411.14</v>
      </c>
      <c r="D30" s="26"/>
      <c r="F30" s="26"/>
      <c r="G30" s="26"/>
      <c r="H30" s="26"/>
      <c r="I30" s="52"/>
    </row>
    <row r="31" spans="1:11" s="24" customFormat="1" x14ac:dyDescent="0.2">
      <c r="A31" s="25" t="s">
        <v>600</v>
      </c>
      <c r="B31" s="103">
        <v>4163</v>
      </c>
      <c r="C31" s="27">
        <v>69</v>
      </c>
      <c r="D31" s="26"/>
      <c r="F31" s="26"/>
      <c r="G31" s="26"/>
      <c r="H31" s="26"/>
      <c r="I31" s="52"/>
    </row>
    <row r="32" spans="1:11" s="24" customFormat="1" x14ac:dyDescent="0.2">
      <c r="A32" s="25" t="s">
        <v>629</v>
      </c>
      <c r="B32" s="25">
        <v>1652.87</v>
      </c>
      <c r="C32" s="27">
        <v>65</v>
      </c>
      <c r="D32" s="26"/>
      <c r="E32" s="101"/>
      <c r="F32" s="26"/>
      <c r="G32" s="26"/>
      <c r="H32" s="26"/>
      <c r="I32" s="52"/>
    </row>
    <row r="33" spans="1:9" s="24" customFormat="1" x14ac:dyDescent="0.2">
      <c r="A33" s="25" t="s">
        <v>630</v>
      </c>
      <c r="B33" s="27">
        <v>329</v>
      </c>
      <c r="C33" s="25"/>
      <c r="D33" s="26"/>
      <c r="E33" s="101"/>
      <c r="F33" s="26"/>
      <c r="G33" s="26"/>
      <c r="H33" s="26"/>
      <c r="I33" s="26"/>
    </row>
    <row r="34" spans="1:9" s="24" customFormat="1" x14ac:dyDescent="0.2">
      <c r="A34" s="25" t="s">
        <v>631</v>
      </c>
      <c r="B34" s="25">
        <v>0</v>
      </c>
      <c r="C34" s="27"/>
      <c r="D34" s="26"/>
      <c r="E34" s="101"/>
      <c r="F34" s="26"/>
      <c r="G34" s="26"/>
      <c r="H34" s="26"/>
      <c r="I34" s="26"/>
    </row>
    <row r="35" spans="1:9" s="24" customFormat="1" x14ac:dyDescent="0.2">
      <c r="A35" s="25" t="s">
        <v>632</v>
      </c>
      <c r="B35" s="27">
        <v>1194.27</v>
      </c>
      <c r="C35" s="27"/>
      <c r="D35" s="26"/>
      <c r="E35" s="104"/>
      <c r="F35" s="26"/>
      <c r="G35" s="26"/>
      <c r="H35" s="26"/>
      <c r="I35" s="26"/>
    </row>
    <row r="36" spans="1:9" s="24" customFormat="1" x14ac:dyDescent="0.2">
      <c r="D36" s="26"/>
      <c r="E36" s="101"/>
      <c r="F36" s="26"/>
      <c r="G36" s="46"/>
      <c r="H36" s="26"/>
      <c r="I36" s="26"/>
    </row>
    <row r="37" spans="1:9" s="24" customFormat="1" x14ac:dyDescent="0.2">
      <c r="D37" s="26"/>
      <c r="E37" s="101"/>
      <c r="G37" s="46"/>
      <c r="H37" s="26"/>
      <c r="I37" s="26"/>
    </row>
    <row r="38" spans="1:9" s="24" customFormat="1" x14ac:dyDescent="0.2">
      <c r="G38" s="51"/>
      <c r="H38" s="26"/>
      <c r="I38" s="26"/>
    </row>
    <row r="39" spans="1:9" s="24" customFormat="1" x14ac:dyDescent="0.2">
      <c r="F39" s="26"/>
      <c r="G39" s="46"/>
      <c r="H39" s="26"/>
      <c r="I39" s="26"/>
    </row>
    <row r="40" spans="1:9" s="24" customFormat="1" x14ac:dyDescent="0.2">
      <c r="F40" s="26"/>
      <c r="G40" s="46"/>
      <c r="H40" s="26"/>
      <c r="I40" s="26"/>
    </row>
    <row r="41" spans="1:9" s="24" customFormat="1" x14ac:dyDescent="0.2">
      <c r="F41" s="26"/>
      <c r="G41" s="46"/>
      <c r="H41" s="26"/>
      <c r="I41" s="26"/>
    </row>
    <row r="42" spans="1:9" s="24" customFormat="1" x14ac:dyDescent="0.2">
      <c r="A42" s="26"/>
      <c r="B42" s="26"/>
      <c r="C42" s="26"/>
      <c r="F42" s="26"/>
      <c r="G42" s="46"/>
      <c r="H42" s="26"/>
      <c r="I42" s="26"/>
    </row>
    <row r="43" spans="1:9" s="24" customFormat="1" x14ac:dyDescent="0.2">
      <c r="A43" s="26"/>
      <c r="B43" s="26"/>
      <c r="C43" s="26"/>
      <c r="F43" s="26"/>
      <c r="G43" s="46"/>
      <c r="H43" s="26"/>
      <c r="I43" s="26"/>
    </row>
    <row r="44" spans="1:9" s="24" customFormat="1" x14ac:dyDescent="0.2">
      <c r="A44" s="26"/>
      <c r="B44" s="26"/>
      <c r="C44" s="26"/>
      <c r="F44" s="26"/>
      <c r="G44" s="46"/>
      <c r="H44" s="26"/>
      <c r="I44" s="26"/>
    </row>
    <row r="45" spans="1:9" s="24" customFormat="1" x14ac:dyDescent="0.2">
      <c r="A45" s="26"/>
      <c r="B45" s="26"/>
      <c r="C45" s="26"/>
      <c r="F45" s="26"/>
      <c r="G45" s="46"/>
      <c r="H45" s="26"/>
      <c r="I45" s="26"/>
    </row>
    <row r="46" spans="1:9" s="24" customFormat="1" x14ac:dyDescent="0.2">
      <c r="F46"/>
      <c r="G46" s="46"/>
      <c r="H46" s="26"/>
      <c r="I46" s="26"/>
    </row>
    <row r="47" spans="1:9" s="24" customFormat="1" x14ac:dyDescent="0.2">
      <c r="A47" s="26"/>
      <c r="B47" s="26"/>
      <c r="C47" s="26"/>
      <c r="F47" s="26"/>
      <c r="G47" s="26"/>
      <c r="H47" s="26"/>
      <c r="I47" s="26"/>
    </row>
    <row r="48" spans="1:9" s="24" customFormat="1" x14ac:dyDescent="0.2">
      <c r="A48" s="26"/>
      <c r="B48" s="26"/>
      <c r="C48" s="26"/>
      <c r="F48" s="26"/>
      <c r="G48" s="26"/>
      <c r="I48" s="26"/>
    </row>
    <row r="49" spans="1:9" s="24" customFormat="1" x14ac:dyDescent="0.2">
      <c r="A49" s="26"/>
      <c r="B49" s="26"/>
      <c r="C49" s="26"/>
      <c r="F49" s="26"/>
      <c r="G49" s="26"/>
      <c r="I49" s="26"/>
    </row>
    <row r="50" spans="1:9" s="24" customFormat="1" x14ac:dyDescent="0.2">
      <c r="F50" s="26"/>
      <c r="G50" s="26"/>
      <c r="H50" s="26"/>
    </row>
    <row r="51" spans="1:9" s="24" customFormat="1" x14ac:dyDescent="0.2">
      <c r="A51" s="26"/>
      <c r="B51" s="26"/>
      <c r="C51"/>
      <c r="F51" s="26"/>
      <c r="G51" s="26"/>
      <c r="H51" s="26"/>
    </row>
    <row r="52" spans="1:9" s="26" customFormat="1" x14ac:dyDescent="0.2">
      <c r="A52" s="91"/>
      <c r="C52"/>
    </row>
    <row r="53" spans="1:9" s="26" customFormat="1" x14ac:dyDescent="0.2">
      <c r="A53" s="91"/>
      <c r="B53"/>
      <c r="C53"/>
      <c r="H53" s="24"/>
    </row>
    <row r="54" spans="1:9" s="26" customFormat="1" x14ac:dyDescent="0.2">
      <c r="A54" s="91"/>
      <c r="C54"/>
      <c r="G54" s="24"/>
      <c r="H54" s="24"/>
    </row>
    <row r="55" spans="1:9" s="26" customFormat="1" x14ac:dyDescent="0.2">
      <c r="A55" s="91"/>
      <c r="C55"/>
      <c r="H55" s="24"/>
    </row>
    <row r="56" spans="1:9" s="24" customFormat="1" x14ac:dyDescent="0.2">
      <c r="A56"/>
      <c r="B56"/>
      <c r="C56"/>
      <c r="F56" s="26"/>
      <c r="G56" s="26"/>
      <c r="H56" s="26"/>
      <c r="I56" s="26"/>
    </row>
    <row r="57" spans="1:9" s="26" customFormat="1" x14ac:dyDescent="0.2">
      <c r="A57"/>
      <c r="B57"/>
      <c r="C57"/>
    </row>
    <row r="58" spans="1:9" s="26" customFormat="1" x14ac:dyDescent="0.2">
      <c r="A58" s="91"/>
      <c r="B58"/>
      <c r="C58"/>
      <c r="H58"/>
    </row>
    <row r="59" spans="1:9" s="26" customFormat="1" x14ac:dyDescent="0.2">
      <c r="A59" s="91"/>
      <c r="B59"/>
      <c r="C59"/>
      <c r="H59"/>
    </row>
    <row r="60" spans="1:9" s="24" customFormat="1" x14ac:dyDescent="0.2">
      <c r="A60" s="91"/>
      <c r="B60"/>
      <c r="C60"/>
      <c r="F60" s="26"/>
      <c r="G60" s="26"/>
      <c r="H60" s="26"/>
      <c r="I60" s="26"/>
    </row>
    <row r="61" spans="1:9" s="24" customFormat="1" x14ac:dyDescent="0.2">
      <c r="A61" s="91"/>
      <c r="B61"/>
      <c r="C61"/>
      <c r="D61" s="26"/>
      <c r="F61"/>
      <c r="G61" s="26"/>
      <c r="H61" s="26"/>
      <c r="I61" s="26"/>
    </row>
    <row r="62" spans="1:9" s="24" customFormat="1" x14ac:dyDescent="0.2">
      <c r="A62" s="91"/>
      <c r="B62"/>
      <c r="C62"/>
      <c r="D62" s="26"/>
      <c r="F62"/>
      <c r="G62" s="26"/>
      <c r="H62"/>
      <c r="I62" s="26"/>
    </row>
    <row r="63" spans="1:9" s="26" customFormat="1" x14ac:dyDescent="0.2">
      <c r="A63" s="91"/>
      <c r="B63"/>
      <c r="C63"/>
      <c r="G63"/>
      <c r="H63"/>
    </row>
    <row r="64" spans="1:9" s="26" customFormat="1" x14ac:dyDescent="0.2">
      <c r="A64" s="91"/>
      <c r="B64"/>
      <c r="C64"/>
      <c r="G64"/>
      <c r="H64"/>
      <c r="I64"/>
    </row>
    <row r="65" spans="1:9" x14ac:dyDescent="0.2">
      <c r="A65" s="91"/>
    </row>
    <row r="66" spans="1:9" x14ac:dyDescent="0.2">
      <c r="A66" s="91"/>
    </row>
    <row r="67" spans="1:9" s="26" customFormat="1" x14ac:dyDescent="0.2">
      <c r="A67" s="91"/>
      <c r="B67"/>
      <c r="C67"/>
      <c r="F67"/>
      <c r="G67"/>
      <c r="H67"/>
      <c r="I67"/>
    </row>
    <row r="68" spans="1:9" s="26" customFormat="1" x14ac:dyDescent="0.2">
      <c r="A68" s="91"/>
      <c r="B68"/>
      <c r="C68"/>
      <c r="F68"/>
      <c r="G68"/>
      <c r="H68"/>
      <c r="I68"/>
    </row>
    <row r="69" spans="1:9" x14ac:dyDescent="0.2">
      <c r="A69" s="91"/>
    </row>
    <row r="70" spans="1:9" x14ac:dyDescent="0.2">
      <c r="A70" s="91"/>
    </row>
    <row r="71" spans="1:9" x14ac:dyDescent="0.2">
      <c r="A71" s="91"/>
    </row>
    <row r="72" spans="1:9" x14ac:dyDescent="0.2">
      <c r="A72" s="91"/>
    </row>
    <row r="73" spans="1:9" x14ac:dyDescent="0.2">
      <c r="A73" s="91"/>
    </row>
    <row r="74" spans="1:9" x14ac:dyDescent="0.2">
      <c r="A74" s="91"/>
    </row>
  </sheetData>
  <pageMargins left="0.7" right="0.7" top="0.75" bottom="0.75" header="0.3" footer="0.3"/>
  <pageSetup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9834-BE06-41FE-9EC8-B0374B8798B1}">
  <dimension ref="A1:K82"/>
  <sheetViews>
    <sheetView workbookViewId="0">
      <selection activeCell="C9" sqref="C9:C31"/>
    </sheetView>
  </sheetViews>
  <sheetFormatPr baseColWidth="10" defaultColWidth="8.83203125" defaultRowHeight="15" x14ac:dyDescent="0.2"/>
  <cols>
    <col min="1" max="1" width="55.33203125" bestFit="1" customWidth="1"/>
    <col min="2" max="2" width="20.1640625" bestFit="1" customWidth="1"/>
    <col min="3" max="3" width="22.5" bestFit="1" customWidth="1"/>
    <col min="4" max="4" width="17.5" bestFit="1" customWidth="1"/>
    <col min="5" max="5" width="8.1640625" customWidth="1"/>
    <col min="6" max="6" width="30.6640625" bestFit="1" customWidth="1"/>
    <col min="7" max="7" width="36.5" bestFit="1" customWidth="1"/>
    <col min="8" max="8" width="15.33203125" bestFit="1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627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3277.24</v>
      </c>
      <c r="C3" s="51">
        <v>3277.24</v>
      </c>
      <c r="F3" s="33">
        <f>B3+B4</f>
        <v>4574.7199999999993</v>
      </c>
      <c r="G3" s="27">
        <f>C9+C10+C11+C12+C13+C14+C15+C16+C17+C18+C19+C20+C21+C22</f>
        <v>4631.2299999999996</v>
      </c>
      <c r="H3" s="27">
        <f>F3-G3</f>
        <v>-56.510000000000218</v>
      </c>
    </row>
    <row r="4" spans="1:11" x14ac:dyDescent="0.2">
      <c r="A4" s="26" t="s">
        <v>265</v>
      </c>
      <c r="B4">
        <v>1297.48</v>
      </c>
      <c r="C4">
        <v>1297.48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4574.7199999999993</v>
      </c>
      <c r="G6" s="27">
        <f>C25+C26+C27+C28+C29+C30+C31</f>
        <v>793.75</v>
      </c>
      <c r="H6" s="27">
        <f>F6-G6</f>
        <v>3780.9699999999993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293</v>
      </c>
      <c r="B9" s="20" t="s">
        <v>389</v>
      </c>
      <c r="C9" s="22">
        <v>1568.84</v>
      </c>
      <c r="D9" s="26"/>
      <c r="F9" s="26"/>
      <c r="G9" s="26"/>
      <c r="H9" s="26"/>
      <c r="I9" s="26"/>
      <c r="J9" s="45"/>
    </row>
    <row r="10" spans="1:11" s="24" customFormat="1" x14ac:dyDescent="0.2">
      <c r="A10" s="20" t="s">
        <v>607</v>
      </c>
      <c r="B10" s="20" t="s">
        <v>389</v>
      </c>
      <c r="C10" s="21">
        <v>183</v>
      </c>
      <c r="D10" s="26"/>
      <c r="F10" s="26"/>
      <c r="G10" s="44"/>
      <c r="H10" s="26"/>
      <c r="I10" s="26"/>
      <c r="J10" s="45"/>
    </row>
    <row r="11" spans="1:11" s="24" customFormat="1" x14ac:dyDescent="0.2">
      <c r="A11" s="20" t="s">
        <v>609</v>
      </c>
      <c r="B11" s="20" t="s">
        <v>610</v>
      </c>
      <c r="C11" s="21">
        <v>130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311</v>
      </c>
      <c r="B12" s="20" t="s">
        <v>394</v>
      </c>
      <c r="C12" s="21">
        <v>32.1</v>
      </c>
      <c r="D12" s="26"/>
      <c r="F12" s="25">
        <f>(H3+H6)/2</f>
        <v>1862.2299999999996</v>
      </c>
      <c r="G12" s="26"/>
      <c r="H12" s="26"/>
      <c r="I12" s="26"/>
      <c r="K12" s="45"/>
    </row>
    <row r="13" spans="1:11" s="24" customFormat="1" x14ac:dyDescent="0.2">
      <c r="A13" s="20" t="s">
        <v>598</v>
      </c>
      <c r="B13" s="20" t="s">
        <v>403</v>
      </c>
      <c r="C13" s="21">
        <v>470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597</v>
      </c>
      <c r="B14" s="20" t="s">
        <v>402</v>
      </c>
      <c r="C14" s="21">
        <v>411.14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633</v>
      </c>
      <c r="B15" s="20" t="s">
        <v>518</v>
      </c>
      <c r="C15" s="21">
        <v>542.02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626</v>
      </c>
      <c r="B16" s="20" t="s">
        <v>398</v>
      </c>
      <c r="C16" s="21">
        <v>180</v>
      </c>
      <c r="D16" s="26"/>
      <c r="F16" s="26"/>
      <c r="G16" s="26"/>
      <c r="H16" s="26"/>
      <c r="I16" s="26"/>
      <c r="J16" s="66"/>
      <c r="K16" s="45"/>
    </row>
    <row r="17" spans="1:11" s="24" customFormat="1" x14ac:dyDescent="0.2">
      <c r="A17" s="20" t="s">
        <v>594</v>
      </c>
      <c r="B17" s="20" t="s">
        <v>398</v>
      </c>
      <c r="C17" s="21">
        <v>70</v>
      </c>
      <c r="D17" s="90"/>
      <c r="F17" s="26"/>
      <c r="G17" s="26"/>
      <c r="H17" s="26"/>
      <c r="I17" s="26"/>
      <c r="J17" s="26"/>
      <c r="K17" s="26"/>
    </row>
    <row r="18" spans="1:11" s="24" customFormat="1" x14ac:dyDescent="0.2">
      <c r="A18" s="20" t="s">
        <v>609</v>
      </c>
      <c r="B18" s="20" t="s">
        <v>610</v>
      </c>
      <c r="C18" s="21">
        <v>130</v>
      </c>
      <c r="D18" s="26"/>
      <c r="F18" s="26"/>
      <c r="G18" s="26"/>
      <c r="H18" s="26"/>
      <c r="I18" s="26"/>
      <c r="J18" s="26"/>
      <c r="K18" s="26"/>
    </row>
    <row r="19" spans="1:11" s="24" customFormat="1" x14ac:dyDescent="0.2">
      <c r="A19" s="20" t="s">
        <v>603</v>
      </c>
      <c r="B19" s="20" t="s">
        <v>401</v>
      </c>
      <c r="C19" s="21">
        <v>184.4</v>
      </c>
      <c r="D19" s="26"/>
      <c r="F19" s="26"/>
      <c r="G19" s="26"/>
      <c r="H19" s="26"/>
      <c r="J19" s="41"/>
    </row>
    <row r="20" spans="1:11" s="24" customFormat="1" x14ac:dyDescent="0.2">
      <c r="A20" s="20" t="s">
        <v>301</v>
      </c>
      <c r="B20" s="20" t="s">
        <v>391</v>
      </c>
      <c r="C20" s="55">
        <v>72.709999999999994</v>
      </c>
      <c r="D20" s="26"/>
      <c r="F20" s="26"/>
      <c r="G20" s="26"/>
      <c r="H20" s="26"/>
    </row>
    <row r="21" spans="1:11" s="24" customFormat="1" x14ac:dyDescent="0.2">
      <c r="A21" s="20" t="s">
        <v>628</v>
      </c>
      <c r="B21" s="20" t="s">
        <v>400</v>
      </c>
      <c r="C21" s="21">
        <v>434.01</v>
      </c>
      <c r="D21" s="26"/>
      <c r="F21" s="26"/>
      <c r="G21" s="26"/>
      <c r="H21" s="26"/>
      <c r="I21" s="102"/>
    </row>
    <row r="22" spans="1:11" s="24" customFormat="1" x14ac:dyDescent="0.2">
      <c r="A22" s="20" t="s">
        <v>604</v>
      </c>
      <c r="B22" s="20" t="s">
        <v>400</v>
      </c>
      <c r="C22" s="21">
        <v>223.01</v>
      </c>
      <c r="D22" s="26"/>
      <c r="F22" s="26"/>
      <c r="G22" s="26"/>
      <c r="H22" s="26"/>
      <c r="I22" s="102"/>
    </row>
    <row r="23" spans="1:11" s="24" customFormat="1" x14ac:dyDescent="0.2">
      <c r="A23" s="29"/>
      <c r="B23" s="29"/>
      <c r="C23" s="30"/>
      <c r="D23" s="26"/>
      <c r="F23" s="26"/>
      <c r="G23" s="26"/>
      <c r="H23" s="26"/>
      <c r="I23" s="102"/>
    </row>
    <row r="24" spans="1:11" s="24" customFormat="1" x14ac:dyDescent="0.2">
      <c r="A24" s="32" t="s">
        <v>13</v>
      </c>
      <c r="B24" s="25"/>
      <c r="C24" s="27"/>
      <c r="F24" s="26"/>
      <c r="G24" s="26"/>
      <c r="H24" s="26"/>
      <c r="I24" s="102"/>
    </row>
    <row r="25" spans="1:11" s="24" customFormat="1" x14ac:dyDescent="0.2">
      <c r="A25" s="20" t="s">
        <v>267</v>
      </c>
      <c r="B25" s="20" t="s">
        <v>404</v>
      </c>
      <c r="C25" s="55">
        <v>33.4</v>
      </c>
      <c r="D25" s="26"/>
      <c r="F25" s="26"/>
      <c r="G25" s="26"/>
      <c r="H25" s="26"/>
      <c r="I25" s="52"/>
    </row>
    <row r="26" spans="1:11" s="24" customFormat="1" x14ac:dyDescent="0.2">
      <c r="A26" s="20" t="s">
        <v>609</v>
      </c>
      <c r="B26" s="20" t="s">
        <v>610</v>
      </c>
      <c r="C26" s="21">
        <v>130</v>
      </c>
      <c r="D26" s="26"/>
      <c r="F26" s="26"/>
      <c r="G26" s="26"/>
      <c r="H26" s="26"/>
      <c r="I26" s="52"/>
    </row>
    <row r="27" spans="1:11" s="24" customFormat="1" x14ac:dyDescent="0.2">
      <c r="A27" s="20" t="s">
        <v>79</v>
      </c>
      <c r="B27" s="20" t="s">
        <v>390</v>
      </c>
      <c r="C27" s="21">
        <v>183.84</v>
      </c>
      <c r="D27" s="26"/>
      <c r="F27" s="26"/>
      <c r="G27" s="26"/>
      <c r="H27" s="26"/>
      <c r="I27" s="52"/>
    </row>
    <row r="28" spans="1:11" s="24" customFormat="1" x14ac:dyDescent="0.2">
      <c r="A28" s="20" t="s">
        <v>600</v>
      </c>
      <c r="B28" s="20" t="s">
        <v>388</v>
      </c>
      <c r="C28" s="21">
        <v>69</v>
      </c>
      <c r="D28" s="26"/>
      <c r="F28" s="26"/>
      <c r="G28" s="26"/>
      <c r="H28" s="26"/>
      <c r="I28" s="52"/>
    </row>
    <row r="29" spans="1:11" s="24" customFormat="1" x14ac:dyDescent="0.2">
      <c r="A29" s="20" t="s">
        <v>609</v>
      </c>
      <c r="B29" s="20" t="s">
        <v>610</v>
      </c>
      <c r="C29" s="21">
        <v>130</v>
      </c>
      <c r="D29" s="26"/>
      <c r="F29" s="26"/>
      <c r="G29" s="26"/>
      <c r="H29" s="26"/>
      <c r="I29" s="52"/>
    </row>
    <row r="30" spans="1:11" s="24" customFormat="1" x14ac:dyDescent="0.2">
      <c r="A30" s="20" t="s">
        <v>302</v>
      </c>
      <c r="B30" s="20" t="s">
        <v>388</v>
      </c>
      <c r="C30" s="21">
        <v>230</v>
      </c>
      <c r="D30" s="26"/>
      <c r="F30" s="26"/>
      <c r="G30" s="26"/>
      <c r="H30" s="26"/>
      <c r="I30" s="52"/>
    </row>
    <row r="31" spans="1:11" s="24" customFormat="1" x14ac:dyDescent="0.2">
      <c r="A31" s="20" t="s">
        <v>601</v>
      </c>
      <c r="B31" s="20" t="s">
        <v>395</v>
      </c>
      <c r="C31" s="21">
        <v>17.510000000000002</v>
      </c>
      <c r="D31" s="26"/>
      <c r="F31" s="26"/>
      <c r="G31" s="26"/>
      <c r="H31" s="26"/>
      <c r="I31" s="26"/>
    </row>
    <row r="32" spans="1:11" s="24" customFormat="1" x14ac:dyDescent="0.2">
      <c r="A32" s="14"/>
      <c r="B32" s="14"/>
      <c r="C32" s="14"/>
      <c r="D32" s="26"/>
      <c r="F32" s="26"/>
      <c r="G32" s="26"/>
      <c r="H32" s="26"/>
      <c r="I32" s="26"/>
    </row>
    <row r="33" spans="1:9" s="24" customFormat="1" x14ac:dyDescent="0.2">
      <c r="A33"/>
      <c r="B33"/>
      <c r="C33"/>
      <c r="D33" s="26"/>
      <c r="F33" s="26"/>
      <c r="G33" s="26"/>
      <c r="H33" s="26"/>
      <c r="I33" s="26"/>
    </row>
    <row r="34" spans="1:9" s="24" customFormat="1" x14ac:dyDescent="0.2">
      <c r="A34"/>
      <c r="B34" s="26"/>
      <c r="C34"/>
      <c r="D34" s="26"/>
      <c r="F34" s="26"/>
      <c r="G34" s="46"/>
      <c r="H34" s="26"/>
      <c r="I34" s="26"/>
    </row>
    <row r="35" spans="1:9" s="24" customFormat="1" x14ac:dyDescent="0.2">
      <c r="C35"/>
      <c r="D35" s="26"/>
      <c r="G35" s="46"/>
      <c r="H35" s="26"/>
      <c r="I35" s="26"/>
    </row>
    <row r="36" spans="1:9" s="24" customFormat="1" x14ac:dyDescent="0.2">
      <c r="G36" s="51"/>
      <c r="H36" s="26"/>
      <c r="I36" s="26"/>
    </row>
    <row r="37" spans="1:9" s="24" customFormat="1" x14ac:dyDescent="0.2">
      <c r="F37" s="26"/>
      <c r="G37" s="46"/>
      <c r="H37" s="26"/>
      <c r="I37" s="26"/>
    </row>
    <row r="38" spans="1:9" s="24" customFormat="1" x14ac:dyDescent="0.2">
      <c r="F38" s="26"/>
      <c r="G38" s="46"/>
      <c r="H38" s="26"/>
      <c r="I38" s="26"/>
    </row>
    <row r="39" spans="1:9" s="24" customFormat="1" x14ac:dyDescent="0.2">
      <c r="F39" s="26"/>
      <c r="G39" s="46"/>
      <c r="H39" s="26"/>
      <c r="I39" s="26"/>
    </row>
    <row r="40" spans="1:9" s="24" customFormat="1" x14ac:dyDescent="0.2">
      <c r="F40" s="26"/>
      <c r="G40" s="46"/>
      <c r="H40" s="26"/>
      <c r="I40" s="26"/>
    </row>
    <row r="41" spans="1:9" s="24" customFormat="1" x14ac:dyDescent="0.2">
      <c r="F41" s="26"/>
      <c r="G41" s="46"/>
      <c r="H41" s="26"/>
      <c r="I41" s="26"/>
    </row>
    <row r="42" spans="1:9" s="24" customFormat="1" x14ac:dyDescent="0.2">
      <c r="F42" s="26"/>
      <c r="G42" s="46"/>
      <c r="H42" s="26"/>
      <c r="I42" s="26"/>
    </row>
    <row r="43" spans="1:9" s="24" customFormat="1" x14ac:dyDescent="0.2">
      <c r="F43" s="26"/>
      <c r="G43" s="46"/>
      <c r="H43" s="26"/>
      <c r="I43" s="26"/>
    </row>
    <row r="44" spans="1:9" s="24" customFormat="1" x14ac:dyDescent="0.2">
      <c r="F44"/>
      <c r="G44" s="46"/>
      <c r="H44" s="26"/>
      <c r="I44" s="26"/>
    </row>
    <row r="45" spans="1:9" s="24" customFormat="1" x14ac:dyDescent="0.2">
      <c r="F45" s="26"/>
      <c r="G45" s="26"/>
      <c r="H45" s="26"/>
      <c r="I45" s="26"/>
    </row>
    <row r="46" spans="1:9" s="24" customFormat="1" x14ac:dyDescent="0.2">
      <c r="F46" s="26"/>
      <c r="G46" s="26"/>
      <c r="I46" s="26"/>
    </row>
    <row r="47" spans="1:9" s="24" customFormat="1" x14ac:dyDescent="0.2">
      <c r="F47" s="26"/>
      <c r="G47" s="26"/>
      <c r="I47" s="26"/>
    </row>
    <row r="48" spans="1:9" s="24" customFormat="1" x14ac:dyDescent="0.2">
      <c r="F48" s="26"/>
      <c r="G48" s="26"/>
      <c r="H48" s="26"/>
    </row>
    <row r="49" spans="1:9" s="24" customFormat="1" x14ac:dyDescent="0.2">
      <c r="F49" s="26"/>
      <c r="G49" s="26"/>
      <c r="H49" s="26"/>
    </row>
    <row r="50" spans="1:9" s="26" customFormat="1" x14ac:dyDescent="0.2"/>
    <row r="51" spans="1:9" s="26" customFormat="1" x14ac:dyDescent="0.2">
      <c r="H51" s="24"/>
    </row>
    <row r="52" spans="1:9" s="26" customFormat="1" x14ac:dyDescent="0.2">
      <c r="G52" s="24"/>
      <c r="H52" s="24"/>
    </row>
    <row r="53" spans="1:9" s="26" customFormat="1" x14ac:dyDescent="0.2">
      <c r="H53" s="24"/>
    </row>
    <row r="54" spans="1:9" s="24" customFormat="1" x14ac:dyDescent="0.2">
      <c r="F54" s="26"/>
      <c r="G54" s="26"/>
      <c r="H54" s="26"/>
      <c r="I54" s="26"/>
    </row>
    <row r="55" spans="1:9" s="26" customFormat="1" x14ac:dyDescent="0.2"/>
    <row r="56" spans="1:9" s="26" customFormat="1" x14ac:dyDescent="0.2">
      <c r="H56"/>
    </row>
    <row r="57" spans="1:9" s="26" customFormat="1" x14ac:dyDescent="0.2">
      <c r="H57"/>
    </row>
    <row r="58" spans="1:9" s="24" customFormat="1" x14ac:dyDescent="0.2">
      <c r="F58" s="26"/>
      <c r="G58" s="26"/>
      <c r="H58" s="26"/>
      <c r="I58" s="26"/>
    </row>
    <row r="59" spans="1:9" s="24" customFormat="1" x14ac:dyDescent="0.2">
      <c r="A59" s="26"/>
      <c r="B59" s="26"/>
      <c r="C59"/>
      <c r="D59" s="26"/>
      <c r="F59"/>
      <c r="G59" s="26"/>
      <c r="H59" s="26"/>
      <c r="I59" s="26"/>
    </row>
    <row r="60" spans="1:9" s="24" customFormat="1" x14ac:dyDescent="0.2">
      <c r="A60" s="91"/>
      <c r="B60" s="26"/>
      <c r="C60"/>
      <c r="D60" s="26"/>
      <c r="F60"/>
      <c r="G60" s="26"/>
      <c r="H60"/>
      <c r="I60" s="26"/>
    </row>
    <row r="61" spans="1:9" s="26" customFormat="1" x14ac:dyDescent="0.2">
      <c r="A61" s="91"/>
      <c r="B61"/>
      <c r="C61"/>
      <c r="G61"/>
      <c r="H61"/>
    </row>
    <row r="62" spans="1:9" s="26" customFormat="1" x14ac:dyDescent="0.2">
      <c r="A62" s="91"/>
      <c r="C62"/>
      <c r="G62"/>
      <c r="H62"/>
      <c r="I62"/>
    </row>
    <row r="63" spans="1:9" x14ac:dyDescent="0.2">
      <c r="A63" s="91"/>
      <c r="B63" s="26"/>
    </row>
    <row r="65" spans="1:9" s="26" customFormat="1" x14ac:dyDescent="0.2">
      <c r="A65"/>
      <c r="B65"/>
      <c r="C65"/>
      <c r="F65"/>
      <c r="G65"/>
      <c r="H65"/>
      <c r="I65"/>
    </row>
    <row r="66" spans="1:9" s="26" customFormat="1" x14ac:dyDescent="0.2">
      <c r="A66" s="91"/>
      <c r="B66"/>
      <c r="C66"/>
      <c r="F66"/>
      <c r="G66"/>
      <c r="H66"/>
      <c r="I66"/>
    </row>
    <row r="67" spans="1:9" x14ac:dyDescent="0.2">
      <c r="A67" s="91"/>
    </row>
    <row r="68" spans="1:9" x14ac:dyDescent="0.2">
      <c r="A68" s="91"/>
    </row>
    <row r="69" spans="1:9" x14ac:dyDescent="0.2">
      <c r="A69" s="91"/>
    </row>
    <row r="70" spans="1:9" x14ac:dyDescent="0.2">
      <c r="A70" s="91"/>
    </row>
    <row r="71" spans="1:9" x14ac:dyDescent="0.2">
      <c r="A71" s="91"/>
    </row>
    <row r="72" spans="1:9" x14ac:dyDescent="0.2">
      <c r="A72" s="91"/>
    </row>
    <row r="73" spans="1:9" x14ac:dyDescent="0.2">
      <c r="A73" s="91"/>
    </row>
    <row r="74" spans="1:9" x14ac:dyDescent="0.2">
      <c r="A74" s="91"/>
    </row>
    <row r="75" spans="1:9" x14ac:dyDescent="0.2">
      <c r="A75" s="91"/>
    </row>
    <row r="76" spans="1:9" x14ac:dyDescent="0.2">
      <c r="A76" s="91"/>
    </row>
    <row r="77" spans="1:9" x14ac:dyDescent="0.2">
      <c r="A77" s="91"/>
    </row>
    <row r="78" spans="1:9" x14ac:dyDescent="0.2">
      <c r="A78" s="91"/>
    </row>
    <row r="79" spans="1:9" x14ac:dyDescent="0.2">
      <c r="A79" s="91"/>
    </row>
    <row r="80" spans="1:9" x14ac:dyDescent="0.2">
      <c r="A80" s="91"/>
    </row>
    <row r="81" spans="1:1" x14ac:dyDescent="0.2">
      <c r="A81" s="91"/>
    </row>
    <row r="82" spans="1:1" x14ac:dyDescent="0.2">
      <c r="A82" s="91"/>
    </row>
  </sheetData>
  <pageMargins left="0.7" right="0.7" top="0.75" bottom="0.75" header="0.3" footer="0.3"/>
  <pageSetup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"/>
  <sheetViews>
    <sheetView workbookViewId="0">
      <selection activeCell="C19" sqref="C19"/>
    </sheetView>
  </sheetViews>
  <sheetFormatPr baseColWidth="10" defaultColWidth="8.83203125" defaultRowHeight="15" x14ac:dyDescent="0.2"/>
  <cols>
    <col min="1" max="1" width="55.33203125" bestFit="1" customWidth="1"/>
    <col min="2" max="2" width="19.1640625" bestFit="1" customWidth="1"/>
    <col min="3" max="3" width="22.5" bestFit="1" customWidth="1"/>
    <col min="4" max="4" width="16.5" bestFit="1" customWidth="1"/>
    <col min="5" max="5" width="10.6640625" customWidth="1"/>
    <col min="6" max="6" width="30.6640625" bestFit="1" customWidth="1"/>
    <col min="7" max="7" width="36.5" bestFit="1" customWidth="1"/>
    <col min="8" max="8" width="15.33203125" bestFit="1" customWidth="1"/>
    <col min="9" max="9" width="40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625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3277.24</v>
      </c>
      <c r="C3" s="51">
        <v>3277.24</v>
      </c>
      <c r="F3" s="33">
        <f>B3+B4</f>
        <v>4574.7199999999993</v>
      </c>
      <c r="G3" s="27">
        <f>C9+C10+C11+C12+C13+C14+C15+C16+C17+C18+C19+C20+C21</f>
        <v>4430.83</v>
      </c>
      <c r="H3" s="27">
        <f>F3-G3</f>
        <v>143.88999999999942</v>
      </c>
    </row>
    <row r="4" spans="1:11" x14ac:dyDescent="0.2">
      <c r="A4" s="26" t="s">
        <v>265</v>
      </c>
      <c r="B4">
        <v>1297.48</v>
      </c>
      <c r="C4">
        <v>1297.48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4574.7199999999993</v>
      </c>
      <c r="G6" s="27">
        <f>C24+C25+C26+C27+C28+C29+C30+C31</f>
        <v>945.58</v>
      </c>
      <c r="H6" s="27">
        <f>F6-G6</f>
        <v>3629.1399999999994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293</v>
      </c>
      <c r="B9" s="20" t="s">
        <v>389</v>
      </c>
      <c r="C9" s="20">
        <v>1568.84</v>
      </c>
      <c r="D9" s="26"/>
      <c r="F9" s="26"/>
      <c r="G9" s="26"/>
      <c r="H9" s="26"/>
      <c r="I9" s="26"/>
      <c r="J9" s="45"/>
    </row>
    <row r="10" spans="1:11" s="24" customFormat="1" x14ac:dyDescent="0.2">
      <c r="A10" s="20" t="s">
        <v>607</v>
      </c>
      <c r="B10" s="20" t="s">
        <v>389</v>
      </c>
      <c r="C10" s="21">
        <v>183</v>
      </c>
      <c r="D10" s="26"/>
      <c r="F10" s="26"/>
      <c r="G10" s="44"/>
      <c r="H10" s="26"/>
      <c r="I10" s="26"/>
      <c r="J10" s="45"/>
    </row>
    <row r="11" spans="1:11" s="24" customFormat="1" x14ac:dyDescent="0.2">
      <c r="A11" s="20" t="s">
        <v>609</v>
      </c>
      <c r="B11" s="20" t="s">
        <v>610</v>
      </c>
      <c r="C11" s="21">
        <v>130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311</v>
      </c>
      <c r="B12" s="20" t="s">
        <v>394</v>
      </c>
      <c r="C12" s="21">
        <v>32.1</v>
      </c>
      <c r="D12" s="26"/>
      <c r="F12" s="25">
        <f>(H3+H6)/2</f>
        <v>1886.5149999999994</v>
      </c>
      <c r="G12" s="26"/>
      <c r="H12" s="26"/>
      <c r="I12" s="26"/>
      <c r="K12" s="45"/>
    </row>
    <row r="13" spans="1:11" s="24" customFormat="1" x14ac:dyDescent="0.2">
      <c r="A13" s="20" t="s">
        <v>598</v>
      </c>
      <c r="B13" s="20" t="s">
        <v>403</v>
      </c>
      <c r="C13" s="21">
        <v>470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597</v>
      </c>
      <c r="B14" s="20" t="s">
        <v>402</v>
      </c>
      <c r="C14" s="21">
        <v>411.14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521</v>
      </c>
      <c r="B15" s="20" t="s">
        <v>518</v>
      </c>
      <c r="C15" s="21">
        <v>542.02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594</v>
      </c>
      <c r="B16" s="20" t="s">
        <v>398</v>
      </c>
      <c r="C16" s="21">
        <v>49.6</v>
      </c>
      <c r="D16" s="90"/>
      <c r="F16" s="26"/>
      <c r="G16" s="26"/>
      <c r="H16" s="26"/>
      <c r="I16" s="26"/>
      <c r="J16" s="26"/>
      <c r="K16" s="26"/>
    </row>
    <row r="17" spans="1:11" s="24" customFormat="1" x14ac:dyDescent="0.2">
      <c r="A17" s="20" t="s">
        <v>609</v>
      </c>
      <c r="B17" s="20" t="s">
        <v>610</v>
      </c>
      <c r="C17" s="21">
        <v>130</v>
      </c>
      <c r="D17" s="26"/>
      <c r="F17" s="26"/>
      <c r="G17" s="26"/>
      <c r="H17" s="26"/>
      <c r="I17" s="26"/>
      <c r="J17" s="26"/>
      <c r="K17" s="26"/>
    </row>
    <row r="18" spans="1:11" s="24" customFormat="1" x14ac:dyDescent="0.2">
      <c r="A18" s="20" t="s">
        <v>603</v>
      </c>
      <c r="B18" s="20" t="s">
        <v>401</v>
      </c>
      <c r="C18" s="21">
        <v>184.4</v>
      </c>
      <c r="D18" s="26"/>
      <c r="F18" s="26"/>
      <c r="G18" s="26"/>
      <c r="H18" s="26"/>
      <c r="J18" s="41"/>
    </row>
    <row r="19" spans="1:11" s="24" customFormat="1" x14ac:dyDescent="0.2">
      <c r="A19" s="20" t="s">
        <v>301</v>
      </c>
      <c r="B19" s="20" t="s">
        <v>391</v>
      </c>
      <c r="C19" s="55">
        <v>72.709999999999994</v>
      </c>
      <c r="D19" s="26"/>
      <c r="F19" s="26"/>
      <c r="G19" s="26"/>
      <c r="H19" s="26"/>
    </row>
    <row r="20" spans="1:11" s="24" customFormat="1" x14ac:dyDescent="0.2">
      <c r="A20" s="20" t="s">
        <v>595</v>
      </c>
      <c r="B20" s="20" t="s">
        <v>400</v>
      </c>
      <c r="C20" s="21">
        <v>434.01</v>
      </c>
      <c r="D20" s="26"/>
      <c r="F20" s="26"/>
      <c r="G20" s="26"/>
      <c r="H20" s="26"/>
      <c r="I20" s="102"/>
    </row>
    <row r="21" spans="1:11" s="24" customFormat="1" x14ac:dyDescent="0.2">
      <c r="A21" s="20" t="s">
        <v>604</v>
      </c>
      <c r="B21" s="20" t="s">
        <v>400</v>
      </c>
      <c r="C21" s="21">
        <v>223.01</v>
      </c>
      <c r="D21" s="26"/>
      <c r="F21" s="26"/>
      <c r="G21" s="26"/>
      <c r="H21" s="26"/>
      <c r="I21" s="102"/>
    </row>
    <row r="22" spans="1:11" s="24" customFormat="1" x14ac:dyDescent="0.2">
      <c r="A22" s="29"/>
      <c r="B22" s="29"/>
      <c r="C22" s="30"/>
      <c r="D22" s="26"/>
      <c r="F22" s="26"/>
      <c r="G22" s="26"/>
      <c r="H22" s="26"/>
      <c r="I22" s="102"/>
    </row>
    <row r="23" spans="1:11" s="24" customFormat="1" x14ac:dyDescent="0.2">
      <c r="A23" s="32" t="s">
        <v>13</v>
      </c>
      <c r="B23" s="25"/>
      <c r="C23" s="27"/>
      <c r="F23" s="26"/>
      <c r="G23" s="26"/>
      <c r="H23" s="26"/>
      <c r="I23" s="102"/>
    </row>
    <row r="24" spans="1:11" s="24" customFormat="1" x14ac:dyDescent="0.2">
      <c r="A24" s="20" t="s">
        <v>267</v>
      </c>
      <c r="B24" s="20" t="s">
        <v>404</v>
      </c>
      <c r="C24" s="55">
        <v>33.4</v>
      </c>
      <c r="D24" s="26"/>
      <c r="F24" s="26"/>
      <c r="G24" s="26"/>
      <c r="H24" s="26"/>
      <c r="I24" s="52"/>
    </row>
    <row r="25" spans="1:11" s="24" customFormat="1" x14ac:dyDescent="0.2">
      <c r="A25" s="20" t="s">
        <v>609</v>
      </c>
      <c r="B25" s="20" t="s">
        <v>610</v>
      </c>
      <c r="C25" s="21">
        <v>130</v>
      </c>
      <c r="D25" s="26"/>
      <c r="F25" s="26"/>
      <c r="G25" s="26"/>
      <c r="H25" s="26"/>
      <c r="I25" s="52"/>
    </row>
    <row r="26" spans="1:11" s="24" customFormat="1" x14ac:dyDescent="0.2">
      <c r="A26" s="20" t="s">
        <v>79</v>
      </c>
      <c r="B26" s="20" t="s">
        <v>390</v>
      </c>
      <c r="C26" s="21">
        <v>183.84</v>
      </c>
      <c r="D26" s="26"/>
      <c r="F26" s="26"/>
      <c r="G26" s="26"/>
      <c r="H26" s="26"/>
      <c r="I26" s="52"/>
    </row>
    <row r="27" spans="1:11" s="24" customFormat="1" x14ac:dyDescent="0.2">
      <c r="A27" s="20" t="s">
        <v>600</v>
      </c>
      <c r="B27" s="20" t="s">
        <v>388</v>
      </c>
      <c r="C27" s="21">
        <v>69</v>
      </c>
      <c r="D27" s="26"/>
      <c r="F27" s="26"/>
      <c r="G27" s="26"/>
      <c r="H27" s="26"/>
      <c r="I27" s="52"/>
    </row>
    <row r="28" spans="1:11" s="24" customFormat="1" x14ac:dyDescent="0.2">
      <c r="A28" s="20" t="s">
        <v>609</v>
      </c>
      <c r="B28" s="20" t="s">
        <v>610</v>
      </c>
      <c r="C28" s="21">
        <v>130</v>
      </c>
      <c r="D28" s="26"/>
      <c r="F28" s="26"/>
      <c r="G28" s="26"/>
      <c r="H28" s="26"/>
      <c r="I28" s="52"/>
    </row>
    <row r="29" spans="1:11" s="24" customFormat="1" x14ac:dyDescent="0.2">
      <c r="A29" s="20" t="s">
        <v>302</v>
      </c>
      <c r="B29" s="20" t="s">
        <v>388</v>
      </c>
      <c r="C29" s="21">
        <v>235</v>
      </c>
      <c r="D29" s="26"/>
      <c r="F29" s="26"/>
      <c r="G29" s="26"/>
      <c r="H29" s="26"/>
      <c r="I29" s="52"/>
    </row>
    <row r="30" spans="1:11" s="24" customFormat="1" x14ac:dyDescent="0.2">
      <c r="A30" s="20" t="s">
        <v>601</v>
      </c>
      <c r="B30" s="20" t="s">
        <v>395</v>
      </c>
      <c r="C30" s="21">
        <v>17.510000000000002</v>
      </c>
      <c r="D30" s="26"/>
      <c r="F30" s="26"/>
      <c r="G30" s="26"/>
      <c r="H30" s="26"/>
      <c r="I30" s="26"/>
    </row>
    <row r="31" spans="1:11" s="24" customFormat="1" x14ac:dyDescent="0.2">
      <c r="A31" s="20" t="s">
        <v>626</v>
      </c>
      <c r="B31" s="20" t="s">
        <v>395</v>
      </c>
      <c r="C31" s="21">
        <v>146.83000000000001</v>
      </c>
      <c r="D31" s="26"/>
      <c r="F31" s="26"/>
      <c r="G31" s="26"/>
      <c r="H31" s="26"/>
      <c r="I31" s="26"/>
    </row>
    <row r="32" spans="1:11" s="24" customFormat="1" x14ac:dyDescent="0.2">
      <c r="A32" s="14"/>
      <c r="B32" s="14"/>
      <c r="C32" s="14"/>
      <c r="D32" s="26"/>
      <c r="F32" s="26"/>
      <c r="G32" s="26"/>
      <c r="H32" s="26"/>
      <c r="I32" s="26"/>
    </row>
    <row r="33" spans="1:9" s="24" customFormat="1" x14ac:dyDescent="0.2">
      <c r="A33"/>
      <c r="B33"/>
      <c r="C33"/>
      <c r="D33" s="26"/>
      <c r="F33" s="26"/>
      <c r="G33" s="46"/>
      <c r="H33" s="26"/>
      <c r="I33" s="26"/>
    </row>
    <row r="34" spans="1:9" s="24" customFormat="1" x14ac:dyDescent="0.2">
      <c r="A34"/>
      <c r="B34" s="26"/>
      <c r="C34"/>
      <c r="D34" s="26"/>
      <c r="G34" s="46"/>
      <c r="H34" s="26"/>
      <c r="I34" s="26"/>
    </row>
    <row r="35" spans="1:9" s="24" customFormat="1" x14ac:dyDescent="0.2">
      <c r="C35"/>
      <c r="D35" s="26"/>
      <c r="G35" s="51"/>
      <c r="H35" s="26"/>
      <c r="I35" s="26"/>
    </row>
    <row r="36" spans="1:9" s="24" customFormat="1" x14ac:dyDescent="0.2">
      <c r="A36" s="26"/>
      <c r="B36" s="26"/>
      <c r="C36" s="26"/>
      <c r="D36" s="26"/>
      <c r="F36" s="26"/>
      <c r="G36" s="46"/>
      <c r="H36" s="26"/>
      <c r="I36" s="26"/>
    </row>
    <row r="37" spans="1:9" s="24" customFormat="1" x14ac:dyDescent="0.2">
      <c r="A37" s="89"/>
      <c r="B37" s="88"/>
      <c r="C37" s="26"/>
      <c r="D37" s="26"/>
      <c r="F37" s="26"/>
      <c r="G37" s="46"/>
      <c r="H37" s="26"/>
      <c r="I37" s="26"/>
    </row>
    <row r="38" spans="1:9" s="24" customFormat="1" x14ac:dyDescent="0.2">
      <c r="A38" s="26"/>
      <c r="B38" s="26"/>
      <c r="C38" s="26"/>
      <c r="D38" s="26"/>
      <c r="F38"/>
      <c r="G38" s="46"/>
      <c r="H38" s="26"/>
      <c r="I38" s="26"/>
    </row>
    <row r="39" spans="1:9" s="24" customFormat="1" x14ac:dyDescent="0.2">
      <c r="A39" s="26"/>
      <c r="B39" s="26"/>
      <c r="C39" s="26"/>
      <c r="D39" s="26"/>
      <c r="F39" s="26"/>
      <c r="G39" s="26"/>
      <c r="H39" s="26"/>
      <c r="I39" s="26"/>
    </row>
    <row r="40" spans="1:9" s="24" customFormat="1" x14ac:dyDescent="0.2">
      <c r="A40" s="26"/>
      <c r="B40" s="101"/>
      <c r="C40" s="26"/>
      <c r="D40" s="26"/>
      <c r="F40" s="26"/>
      <c r="G40" s="26"/>
      <c r="I40" s="26"/>
    </row>
    <row r="41" spans="1:9" s="24" customFormat="1" x14ac:dyDescent="0.2">
      <c r="A41" s="26"/>
      <c r="B41" s="26"/>
      <c r="C41" s="26"/>
      <c r="D41" s="26"/>
      <c r="F41" s="26"/>
      <c r="G41" s="26"/>
      <c r="I41" s="26"/>
    </row>
    <row r="42" spans="1:9" s="24" customFormat="1" x14ac:dyDescent="0.2">
      <c r="A42" s="26"/>
      <c r="B42" s="26"/>
      <c r="C42" s="26"/>
      <c r="D42" s="26"/>
      <c r="F42" s="26"/>
      <c r="G42" s="26"/>
      <c r="H42" s="26"/>
    </row>
    <row r="43" spans="1:9" s="24" customFormat="1" x14ac:dyDescent="0.2">
      <c r="A43" s="26"/>
      <c r="B43" s="26"/>
      <c r="C43" s="26"/>
      <c r="D43" s="26"/>
      <c r="F43" s="26"/>
      <c r="G43" s="26"/>
      <c r="H43" s="26"/>
    </row>
    <row r="44" spans="1:9" s="26" customFormat="1" x14ac:dyDescent="0.2"/>
    <row r="45" spans="1:9" s="26" customFormat="1" x14ac:dyDescent="0.2">
      <c r="H45" s="24"/>
    </row>
    <row r="46" spans="1:9" s="26" customFormat="1" x14ac:dyDescent="0.2">
      <c r="B46" s="51"/>
      <c r="G46" s="24"/>
      <c r="H46" s="24"/>
    </row>
    <row r="47" spans="1:9" s="26" customFormat="1" x14ac:dyDescent="0.2">
      <c r="H47" s="24"/>
    </row>
    <row r="48" spans="1:9" s="24" customFormat="1" x14ac:dyDescent="0.2">
      <c r="A48" s="26"/>
      <c r="B48" s="26"/>
      <c r="C48" s="26"/>
      <c r="D48" s="77"/>
      <c r="F48" s="26"/>
      <c r="G48" s="26"/>
      <c r="H48" s="26"/>
      <c r="I48" s="26"/>
    </row>
    <row r="49" spans="1:9" s="26" customFormat="1" x14ac:dyDescent="0.2"/>
    <row r="50" spans="1:9" s="26" customFormat="1" x14ac:dyDescent="0.2">
      <c r="H50"/>
    </row>
    <row r="51" spans="1:9" s="26" customFormat="1" x14ac:dyDescent="0.2">
      <c r="H51"/>
    </row>
    <row r="52" spans="1:9" s="24" customFormat="1" x14ac:dyDescent="0.2">
      <c r="A52" s="26"/>
      <c r="B52" s="26"/>
      <c r="C52" s="26"/>
      <c r="D52" s="26"/>
      <c r="F52" s="26"/>
      <c r="G52" s="26"/>
      <c r="H52" s="26"/>
      <c r="I52" s="26"/>
    </row>
    <row r="53" spans="1:9" s="24" customFormat="1" x14ac:dyDescent="0.2">
      <c r="A53" s="26"/>
      <c r="B53" s="26"/>
      <c r="C53" s="26"/>
      <c r="D53" s="26"/>
      <c r="F53"/>
      <c r="G53" s="26"/>
      <c r="H53" s="26"/>
      <c r="I53" s="26"/>
    </row>
    <row r="54" spans="1:9" s="24" customFormat="1" x14ac:dyDescent="0.2">
      <c r="A54" s="26"/>
      <c r="B54" s="26"/>
      <c r="C54"/>
      <c r="D54" s="26"/>
      <c r="F54"/>
      <c r="G54" s="26"/>
      <c r="H54"/>
      <c r="I54" s="26"/>
    </row>
    <row r="55" spans="1:9" s="26" customFormat="1" x14ac:dyDescent="0.2">
      <c r="A55" s="91"/>
      <c r="C55"/>
      <c r="G55"/>
      <c r="H55"/>
    </row>
    <row r="56" spans="1:9" s="26" customFormat="1" x14ac:dyDescent="0.2">
      <c r="A56" s="91"/>
      <c r="B56"/>
      <c r="C56"/>
      <c r="G56"/>
      <c r="H56"/>
      <c r="I56"/>
    </row>
    <row r="57" spans="1:9" x14ac:dyDescent="0.2">
      <c r="A57" s="91"/>
      <c r="B57" s="26"/>
    </row>
    <row r="58" spans="1:9" x14ac:dyDescent="0.2">
      <c r="A58" s="91"/>
      <c r="B58" s="26"/>
    </row>
    <row r="59" spans="1:9" s="26" customFormat="1" x14ac:dyDescent="0.2">
      <c r="A59"/>
      <c r="B59"/>
      <c r="C59"/>
      <c r="F59"/>
      <c r="G59"/>
      <c r="H59"/>
      <c r="I59"/>
    </row>
    <row r="60" spans="1:9" s="26" customFormat="1" x14ac:dyDescent="0.2">
      <c r="A60"/>
      <c r="B60"/>
      <c r="C60"/>
      <c r="F60"/>
      <c r="G60"/>
      <c r="H60"/>
      <c r="I60"/>
    </row>
    <row r="61" spans="1:9" x14ac:dyDescent="0.2">
      <c r="A61" s="91"/>
    </row>
    <row r="62" spans="1:9" x14ac:dyDescent="0.2">
      <c r="A62" s="91"/>
    </row>
    <row r="63" spans="1:9" x14ac:dyDescent="0.2">
      <c r="A63" s="91"/>
    </row>
    <row r="64" spans="1:9" x14ac:dyDescent="0.2">
      <c r="A64" s="91"/>
    </row>
    <row r="65" spans="1:1" x14ac:dyDescent="0.2">
      <c r="A65" s="91"/>
    </row>
    <row r="66" spans="1:1" x14ac:dyDescent="0.2">
      <c r="A66" s="91"/>
    </row>
    <row r="67" spans="1:1" x14ac:dyDescent="0.2">
      <c r="A67" s="91"/>
    </row>
    <row r="68" spans="1:1" x14ac:dyDescent="0.2">
      <c r="A68" s="91"/>
    </row>
    <row r="69" spans="1:1" x14ac:dyDescent="0.2">
      <c r="A69" s="91"/>
    </row>
    <row r="70" spans="1:1" x14ac:dyDescent="0.2">
      <c r="A70" s="91"/>
    </row>
    <row r="71" spans="1:1" x14ac:dyDescent="0.2">
      <c r="A71" s="91"/>
    </row>
    <row r="72" spans="1:1" x14ac:dyDescent="0.2">
      <c r="A72" s="91"/>
    </row>
    <row r="73" spans="1:1" x14ac:dyDescent="0.2">
      <c r="A73" s="91"/>
    </row>
    <row r="74" spans="1:1" x14ac:dyDescent="0.2">
      <c r="A74" s="91"/>
    </row>
    <row r="75" spans="1:1" x14ac:dyDescent="0.2">
      <c r="A75" s="91"/>
    </row>
    <row r="76" spans="1:1" x14ac:dyDescent="0.2">
      <c r="A76" s="91"/>
    </row>
    <row r="77" spans="1:1" x14ac:dyDescent="0.2">
      <c r="A77" s="91"/>
    </row>
  </sheetData>
  <dataValidations count="1">
    <dataValidation type="list" allowBlank="1" showInputMessage="1" showErrorMessage="1" sqref="C45:C52 C36:C42" xr:uid="{00000000-0002-0000-0000-000000000000}">
      <formula1>#REF!</formula1>
    </dataValidation>
  </dataValidation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7"/>
  <sheetViews>
    <sheetView workbookViewId="0">
      <selection activeCell="A38" sqref="A38:C46"/>
    </sheetView>
  </sheetViews>
  <sheetFormatPr baseColWidth="10" defaultColWidth="8.83203125" defaultRowHeight="15" x14ac:dyDescent="0.2"/>
  <cols>
    <col min="1" max="1" width="55.33203125" bestFit="1" customWidth="1"/>
    <col min="2" max="2" width="19.1640625" bestFit="1" customWidth="1"/>
    <col min="3" max="3" width="22.5" bestFit="1" customWidth="1"/>
    <col min="4" max="4" width="16.5" bestFit="1" customWidth="1"/>
    <col min="5" max="5" width="10.6640625" customWidth="1"/>
    <col min="6" max="6" width="30.6640625" bestFit="1" customWidth="1"/>
    <col min="7" max="7" width="36.5" bestFit="1" customWidth="1"/>
    <col min="8" max="8" width="15.33203125" bestFit="1" customWidth="1"/>
    <col min="9" max="9" width="28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624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3277.24</v>
      </c>
      <c r="C3" s="51">
        <v>3277.24</v>
      </c>
      <c r="F3" s="33">
        <f>B3+B4</f>
        <v>4574.7199999999993</v>
      </c>
      <c r="G3" s="27">
        <f>C9+C10+C11+C12+C13+C14+C15+C16+C17+C18+C19+C20+C21</f>
        <v>5286.9800000000005</v>
      </c>
      <c r="H3" s="27">
        <f>F3-G3</f>
        <v>-712.26000000000113</v>
      </c>
    </row>
    <row r="4" spans="1:11" x14ac:dyDescent="0.2">
      <c r="A4" s="26" t="s">
        <v>265</v>
      </c>
      <c r="B4">
        <v>1297.48</v>
      </c>
      <c r="C4">
        <v>1297.48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4574.7199999999993</v>
      </c>
      <c r="G6" s="27">
        <f>C24+C25+C26+C27+C28+C29+C30+C31+C19</f>
        <v>998.94</v>
      </c>
      <c r="H6" s="27">
        <f>F6-G6</f>
        <v>3575.7799999999993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293</v>
      </c>
      <c r="B9" s="20" t="s">
        <v>389</v>
      </c>
      <c r="C9" s="20">
        <v>2868</v>
      </c>
      <c r="D9" s="26"/>
      <c r="F9" s="26"/>
      <c r="G9" s="26"/>
      <c r="H9" s="26"/>
      <c r="I9" s="26"/>
      <c r="J9" s="45"/>
    </row>
    <row r="10" spans="1:11" s="24" customFormat="1" x14ac:dyDescent="0.2">
      <c r="A10" s="20" t="s">
        <v>607</v>
      </c>
      <c r="B10" s="20" t="s">
        <v>389</v>
      </c>
      <c r="C10" s="21"/>
      <c r="D10" s="26"/>
      <c r="F10" s="26"/>
      <c r="G10" s="44"/>
      <c r="H10" s="26"/>
      <c r="I10" s="26"/>
      <c r="J10" s="45"/>
    </row>
    <row r="11" spans="1:11" s="24" customFormat="1" x14ac:dyDescent="0.2">
      <c r="A11" s="20" t="s">
        <v>609</v>
      </c>
      <c r="B11" s="20" t="s">
        <v>610</v>
      </c>
      <c r="C11" s="21"/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311</v>
      </c>
      <c r="B12" s="20" t="s">
        <v>394</v>
      </c>
      <c r="C12" s="21">
        <v>32.1</v>
      </c>
      <c r="D12" s="26"/>
      <c r="F12" s="25">
        <f>(H3+H6)/2</f>
        <v>1431.7599999999991</v>
      </c>
      <c r="G12" s="26"/>
      <c r="H12" s="26"/>
      <c r="I12" s="26"/>
      <c r="K12" s="45"/>
    </row>
    <row r="13" spans="1:11" s="24" customFormat="1" x14ac:dyDescent="0.2">
      <c r="A13" s="20" t="s">
        <v>598</v>
      </c>
      <c r="B13" s="20" t="s">
        <v>403</v>
      </c>
      <c r="C13" s="21">
        <v>470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597</v>
      </c>
      <c r="B14" s="20" t="s">
        <v>402</v>
      </c>
      <c r="C14" s="21">
        <v>411.14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521</v>
      </c>
      <c r="B15" s="20" t="s">
        <v>518</v>
      </c>
      <c r="C15" s="21">
        <v>542.02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594</v>
      </c>
      <c r="B16" s="20" t="s">
        <v>398</v>
      </c>
      <c r="C16" s="21">
        <v>49.6</v>
      </c>
      <c r="D16" s="90"/>
      <c r="F16" s="26"/>
      <c r="G16" s="26"/>
      <c r="H16" s="26"/>
      <c r="I16" s="26"/>
      <c r="J16" s="26"/>
      <c r="K16" s="26"/>
    </row>
    <row r="17" spans="1:11" s="24" customFormat="1" x14ac:dyDescent="0.2">
      <c r="A17" s="20" t="s">
        <v>609</v>
      </c>
      <c r="B17" s="20" t="s">
        <v>610</v>
      </c>
      <c r="C17" s="21"/>
      <c r="D17" s="26"/>
      <c r="F17" s="26"/>
      <c r="G17" s="26"/>
      <c r="H17" s="26"/>
      <c r="I17" s="26"/>
      <c r="J17" s="26"/>
      <c r="K17" s="26"/>
    </row>
    <row r="18" spans="1:11" s="24" customFormat="1" x14ac:dyDescent="0.2">
      <c r="A18" s="20" t="s">
        <v>603</v>
      </c>
      <c r="B18" s="20" t="s">
        <v>401</v>
      </c>
      <c r="C18" s="21">
        <v>184.4</v>
      </c>
      <c r="D18" s="26"/>
      <c r="F18" s="26"/>
      <c r="G18" s="26"/>
      <c r="H18" s="26"/>
      <c r="J18" s="41"/>
    </row>
    <row r="19" spans="1:11" s="24" customFormat="1" x14ac:dyDescent="0.2">
      <c r="A19" s="20" t="s">
        <v>301</v>
      </c>
      <c r="B19" s="20" t="s">
        <v>391</v>
      </c>
      <c r="C19" s="55">
        <v>72.709999999999994</v>
      </c>
      <c r="D19" s="26"/>
      <c r="F19" s="26"/>
      <c r="G19" s="26"/>
      <c r="H19" s="26"/>
    </row>
    <row r="20" spans="1:11" s="24" customFormat="1" x14ac:dyDescent="0.2">
      <c r="A20" s="20" t="s">
        <v>595</v>
      </c>
      <c r="B20" s="20" t="s">
        <v>400</v>
      </c>
      <c r="C20" s="21">
        <v>434</v>
      </c>
      <c r="D20" s="26"/>
      <c r="F20" s="26"/>
      <c r="G20" s="26"/>
      <c r="H20" s="26"/>
      <c r="I20" s="102"/>
    </row>
    <row r="21" spans="1:11" s="24" customFormat="1" x14ac:dyDescent="0.2">
      <c r="A21" s="20" t="s">
        <v>604</v>
      </c>
      <c r="B21" s="20" t="s">
        <v>400</v>
      </c>
      <c r="C21" s="21">
        <v>223.01</v>
      </c>
      <c r="D21" s="26"/>
      <c r="F21" s="26"/>
      <c r="G21" s="26"/>
      <c r="H21" s="26"/>
      <c r="I21" s="102"/>
    </row>
    <row r="22" spans="1:11" s="24" customFormat="1" x14ac:dyDescent="0.2">
      <c r="A22" s="29"/>
      <c r="B22" s="29"/>
      <c r="C22" s="30"/>
      <c r="D22" s="26"/>
      <c r="F22" s="26"/>
      <c r="G22" s="26"/>
      <c r="H22" s="26"/>
      <c r="I22" s="102"/>
    </row>
    <row r="23" spans="1:11" s="24" customFormat="1" x14ac:dyDescent="0.2">
      <c r="A23" s="32" t="s">
        <v>13</v>
      </c>
      <c r="B23" s="25"/>
      <c r="C23" s="27"/>
      <c r="F23" s="26"/>
      <c r="G23" s="26"/>
      <c r="H23" s="26"/>
      <c r="I23" s="102"/>
    </row>
    <row r="24" spans="1:11" s="24" customFormat="1" x14ac:dyDescent="0.2">
      <c r="A24" s="20" t="s">
        <v>267</v>
      </c>
      <c r="B24" s="20" t="s">
        <v>404</v>
      </c>
      <c r="C24" s="55">
        <v>33.4</v>
      </c>
      <c r="D24" s="26"/>
      <c r="F24" s="26"/>
      <c r="G24" s="26"/>
      <c r="H24" s="26"/>
      <c r="I24" s="52"/>
    </row>
    <row r="25" spans="1:11" s="24" customFormat="1" x14ac:dyDescent="0.2">
      <c r="A25" s="20" t="s">
        <v>609</v>
      </c>
      <c r="B25" s="20" t="s">
        <v>610</v>
      </c>
      <c r="C25" s="21"/>
      <c r="D25" s="26"/>
      <c r="F25" s="26"/>
      <c r="G25" s="26"/>
      <c r="H25" s="26"/>
      <c r="I25" s="52"/>
    </row>
    <row r="26" spans="1:11" s="24" customFormat="1" x14ac:dyDescent="0.2">
      <c r="A26" s="20" t="s">
        <v>79</v>
      </c>
      <c r="B26" s="20" t="s">
        <v>390</v>
      </c>
      <c r="C26" s="21">
        <v>195.32</v>
      </c>
      <c r="D26" s="26"/>
      <c r="F26" s="26"/>
      <c r="G26" s="26"/>
      <c r="H26" s="26"/>
      <c r="I26" s="52"/>
    </row>
    <row r="27" spans="1:11" s="24" customFormat="1" x14ac:dyDescent="0.2">
      <c r="A27" s="20" t="s">
        <v>600</v>
      </c>
      <c r="B27" s="20" t="s">
        <v>388</v>
      </c>
      <c r="C27" s="21"/>
      <c r="D27" s="26"/>
      <c r="F27" s="26"/>
      <c r="G27" s="26"/>
      <c r="H27" s="26"/>
      <c r="I27" s="52"/>
    </row>
    <row r="28" spans="1:11" s="24" customFormat="1" x14ac:dyDescent="0.2">
      <c r="A28" s="20" t="s">
        <v>609</v>
      </c>
      <c r="B28" s="20" t="s">
        <v>610</v>
      </c>
      <c r="C28" s="21"/>
      <c r="D28" s="26"/>
      <c r="F28" s="26"/>
      <c r="G28" s="26"/>
      <c r="H28" s="26"/>
      <c r="I28" s="52"/>
    </row>
    <row r="29" spans="1:11" s="24" customFormat="1" x14ac:dyDescent="0.2">
      <c r="A29" s="20" t="s">
        <v>302</v>
      </c>
      <c r="B29" s="20" t="s">
        <v>388</v>
      </c>
      <c r="C29" s="21">
        <v>500</v>
      </c>
      <c r="D29" s="26"/>
      <c r="F29" s="26"/>
      <c r="G29" s="26"/>
      <c r="H29" s="26"/>
      <c r="I29" s="52"/>
    </row>
    <row r="30" spans="1:11" s="24" customFormat="1" x14ac:dyDescent="0.2">
      <c r="A30" s="20" t="s">
        <v>601</v>
      </c>
      <c r="B30" s="20" t="s">
        <v>395</v>
      </c>
      <c r="C30" s="21">
        <v>17.510000000000002</v>
      </c>
      <c r="D30" s="26"/>
      <c r="F30" s="26"/>
      <c r="G30" s="26"/>
      <c r="H30" s="26"/>
      <c r="I30" s="26"/>
    </row>
    <row r="31" spans="1:11" s="24" customFormat="1" x14ac:dyDescent="0.2">
      <c r="A31" s="20" t="s">
        <v>60</v>
      </c>
      <c r="B31" s="20" t="s">
        <v>395</v>
      </c>
      <c r="C31" s="21">
        <v>180</v>
      </c>
      <c r="D31" s="26"/>
      <c r="F31" s="26"/>
      <c r="G31" s="26"/>
      <c r="H31" s="26"/>
      <c r="I31" s="26"/>
    </row>
    <row r="32" spans="1:11" s="24" customFormat="1" x14ac:dyDescent="0.2">
      <c r="A32" s="14"/>
      <c r="B32" s="14"/>
      <c r="C32" s="14"/>
      <c r="D32" s="26"/>
      <c r="F32" s="26"/>
      <c r="G32" s="26"/>
      <c r="H32" s="26"/>
      <c r="I32" s="26"/>
    </row>
    <row r="33" spans="1:9" s="24" customFormat="1" x14ac:dyDescent="0.2">
      <c r="A33"/>
      <c r="B33"/>
      <c r="C33"/>
      <c r="D33" s="26"/>
      <c r="F33" s="26"/>
      <c r="G33" s="46"/>
      <c r="H33" s="26"/>
      <c r="I33" s="26"/>
    </row>
    <row r="34" spans="1:9" s="24" customFormat="1" x14ac:dyDescent="0.2">
      <c r="A34"/>
      <c r="B34" s="26"/>
      <c r="C34"/>
      <c r="D34" s="26"/>
      <c r="G34" s="46"/>
      <c r="H34" s="26"/>
      <c r="I34" s="26"/>
    </row>
    <row r="35" spans="1:9" s="24" customFormat="1" x14ac:dyDescent="0.2">
      <c r="C35"/>
      <c r="D35" s="26"/>
      <c r="G35" s="51"/>
      <c r="H35" s="26"/>
      <c r="I35" s="26"/>
    </row>
    <row r="36" spans="1:9" s="24" customFormat="1" x14ac:dyDescent="0.2">
      <c r="A36" s="26"/>
      <c r="B36" s="26"/>
      <c r="C36" s="26"/>
      <c r="D36" s="26"/>
      <c r="F36" s="26"/>
      <c r="G36" s="46"/>
      <c r="H36" s="26"/>
      <c r="I36" s="26"/>
    </row>
    <row r="37" spans="1:9" s="24" customFormat="1" x14ac:dyDescent="0.2">
      <c r="A37" s="89"/>
      <c r="B37" s="88"/>
      <c r="C37" s="26"/>
      <c r="D37" s="26"/>
      <c r="F37" s="26"/>
      <c r="G37" s="46"/>
      <c r="H37" s="26"/>
      <c r="I37" s="26"/>
    </row>
    <row r="38" spans="1:9" s="24" customFormat="1" x14ac:dyDescent="0.2">
      <c r="A38" s="26" t="s">
        <v>614</v>
      </c>
      <c r="B38" s="26">
        <v>0</v>
      </c>
      <c r="C38" s="26"/>
      <c r="D38" s="26"/>
      <c r="F38"/>
      <c r="G38" s="46"/>
      <c r="H38" s="26"/>
      <c r="I38" s="26"/>
    </row>
    <row r="39" spans="1:9" s="24" customFormat="1" x14ac:dyDescent="0.2">
      <c r="A39" s="26" t="s">
        <v>615</v>
      </c>
      <c r="B39" s="26">
        <v>10808.73</v>
      </c>
      <c r="C39" s="26"/>
      <c r="D39" s="26"/>
      <c r="F39" s="26"/>
      <c r="G39" s="26"/>
      <c r="H39" s="26"/>
      <c r="I39" s="26"/>
    </row>
    <row r="40" spans="1:9" s="24" customFormat="1" x14ac:dyDescent="0.2">
      <c r="A40" s="26" t="s">
        <v>616</v>
      </c>
      <c r="B40" s="101">
        <v>4508</v>
      </c>
      <c r="C40" s="26"/>
      <c r="D40" s="26"/>
      <c r="F40" s="26"/>
      <c r="G40" s="26"/>
      <c r="I40" s="26"/>
    </row>
    <row r="41" spans="1:9" s="24" customFormat="1" x14ac:dyDescent="0.2">
      <c r="A41" s="26" t="s">
        <v>617</v>
      </c>
      <c r="B41" s="26">
        <v>0</v>
      </c>
      <c r="C41" s="26"/>
      <c r="D41" s="26"/>
      <c r="F41" s="26"/>
      <c r="G41" s="26"/>
      <c r="I41" s="26"/>
    </row>
    <row r="42" spans="1:9" s="24" customFormat="1" x14ac:dyDescent="0.2">
      <c r="A42" s="26" t="s">
        <v>618</v>
      </c>
      <c r="B42" s="26">
        <v>1735.54</v>
      </c>
      <c r="C42" s="26"/>
      <c r="D42" s="26"/>
      <c r="F42" s="26"/>
      <c r="G42" s="26"/>
      <c r="H42" s="26"/>
    </row>
    <row r="43" spans="1:9" s="24" customFormat="1" x14ac:dyDescent="0.2">
      <c r="A43" s="26" t="s">
        <v>619</v>
      </c>
      <c r="B43" s="26">
        <v>842.58</v>
      </c>
      <c r="C43" s="26" t="s">
        <v>623</v>
      </c>
      <c r="D43" s="26"/>
      <c r="F43" s="26"/>
      <c r="G43" s="26"/>
      <c r="H43" s="26"/>
    </row>
    <row r="44" spans="1:9" s="26" customFormat="1" x14ac:dyDescent="0.2">
      <c r="A44" s="26" t="s">
        <v>620</v>
      </c>
      <c r="B44" s="26">
        <v>0</v>
      </c>
    </row>
    <row r="45" spans="1:9" s="26" customFormat="1" x14ac:dyDescent="0.2">
      <c r="H45" s="24"/>
    </row>
    <row r="46" spans="1:9" s="26" customFormat="1" x14ac:dyDescent="0.2">
      <c r="A46" s="26" t="s">
        <v>621</v>
      </c>
      <c r="B46" s="51">
        <v>14223.99</v>
      </c>
      <c r="G46" s="24"/>
      <c r="H46" s="24"/>
    </row>
    <row r="47" spans="1:9" s="26" customFormat="1" x14ac:dyDescent="0.2">
      <c r="H47" s="24"/>
    </row>
    <row r="48" spans="1:9" s="24" customFormat="1" x14ac:dyDescent="0.2">
      <c r="A48" s="26"/>
      <c r="B48" s="26"/>
      <c r="C48" s="26"/>
      <c r="D48" s="77"/>
      <c r="F48" s="26"/>
      <c r="G48" s="26"/>
      <c r="H48" s="26"/>
      <c r="I48" s="26"/>
    </row>
    <row r="49" spans="1:9" s="26" customFormat="1" x14ac:dyDescent="0.2"/>
    <row r="50" spans="1:9" s="26" customFormat="1" x14ac:dyDescent="0.2">
      <c r="H50"/>
    </row>
    <row r="51" spans="1:9" s="26" customFormat="1" x14ac:dyDescent="0.2">
      <c r="H51"/>
    </row>
    <row r="52" spans="1:9" s="24" customFormat="1" x14ac:dyDescent="0.2">
      <c r="A52" s="26"/>
      <c r="B52" s="26"/>
      <c r="C52" s="26"/>
      <c r="D52" s="26"/>
      <c r="F52" s="26"/>
      <c r="G52" s="26"/>
      <c r="H52" s="26"/>
      <c r="I52" s="26"/>
    </row>
    <row r="53" spans="1:9" s="24" customFormat="1" x14ac:dyDescent="0.2">
      <c r="A53" s="26"/>
      <c r="B53" s="26"/>
      <c r="C53" s="26"/>
      <c r="D53" s="26"/>
      <c r="F53"/>
      <c r="G53" s="26"/>
      <c r="H53" s="26"/>
      <c r="I53" s="26"/>
    </row>
    <row r="54" spans="1:9" s="24" customFormat="1" x14ac:dyDescent="0.2">
      <c r="A54" s="26"/>
      <c r="B54" s="26"/>
      <c r="C54"/>
      <c r="D54" s="26"/>
      <c r="F54"/>
      <c r="G54" s="26"/>
      <c r="H54"/>
      <c r="I54" s="26"/>
    </row>
    <row r="55" spans="1:9" s="26" customFormat="1" x14ac:dyDescent="0.2">
      <c r="A55" s="91"/>
      <c r="C55"/>
      <c r="G55"/>
      <c r="H55"/>
    </row>
    <row r="56" spans="1:9" s="26" customFormat="1" x14ac:dyDescent="0.2">
      <c r="A56" s="91"/>
      <c r="B56"/>
      <c r="C56"/>
      <c r="G56"/>
      <c r="H56"/>
      <c r="I56"/>
    </row>
    <row r="57" spans="1:9" x14ac:dyDescent="0.2">
      <c r="A57" s="91"/>
      <c r="B57" s="26"/>
    </row>
    <row r="58" spans="1:9" x14ac:dyDescent="0.2">
      <c r="A58" s="91"/>
      <c r="B58" s="26"/>
    </row>
    <row r="59" spans="1:9" s="26" customFormat="1" x14ac:dyDescent="0.2">
      <c r="A59"/>
      <c r="B59"/>
      <c r="C59"/>
      <c r="F59"/>
      <c r="G59"/>
      <c r="H59"/>
      <c r="I59"/>
    </row>
    <row r="60" spans="1:9" s="26" customFormat="1" x14ac:dyDescent="0.2">
      <c r="A60"/>
      <c r="B60"/>
      <c r="C60"/>
      <c r="F60"/>
      <c r="G60"/>
      <c r="H60"/>
      <c r="I60"/>
    </row>
    <row r="61" spans="1:9" x14ac:dyDescent="0.2">
      <c r="A61" s="91"/>
    </row>
    <row r="62" spans="1:9" x14ac:dyDescent="0.2">
      <c r="A62" s="91"/>
    </row>
    <row r="63" spans="1:9" x14ac:dyDescent="0.2">
      <c r="A63" s="91"/>
    </row>
    <row r="64" spans="1:9" x14ac:dyDescent="0.2">
      <c r="A64" s="91"/>
    </row>
    <row r="65" spans="1:1" x14ac:dyDescent="0.2">
      <c r="A65" s="91"/>
    </row>
    <row r="66" spans="1:1" x14ac:dyDescent="0.2">
      <c r="A66" s="91"/>
    </row>
    <row r="67" spans="1:1" x14ac:dyDescent="0.2">
      <c r="A67" s="91"/>
    </row>
    <row r="68" spans="1:1" x14ac:dyDescent="0.2">
      <c r="A68" s="91"/>
    </row>
    <row r="69" spans="1:1" x14ac:dyDescent="0.2">
      <c r="A69" s="91"/>
    </row>
    <row r="70" spans="1:1" x14ac:dyDescent="0.2">
      <c r="A70" s="91"/>
    </row>
    <row r="71" spans="1:1" x14ac:dyDescent="0.2">
      <c r="A71" s="91"/>
    </row>
    <row r="72" spans="1:1" x14ac:dyDescent="0.2">
      <c r="A72" s="91"/>
    </row>
    <row r="73" spans="1:1" x14ac:dyDescent="0.2">
      <c r="A73" s="91"/>
    </row>
    <row r="74" spans="1:1" x14ac:dyDescent="0.2">
      <c r="A74" s="91"/>
    </row>
    <row r="75" spans="1:1" x14ac:dyDescent="0.2">
      <c r="A75" s="91"/>
    </row>
    <row r="76" spans="1:1" x14ac:dyDescent="0.2">
      <c r="A76" s="91"/>
    </row>
    <row r="77" spans="1:1" x14ac:dyDescent="0.2">
      <c r="A77" s="91"/>
    </row>
  </sheetData>
  <dataValidations count="1">
    <dataValidation type="list" allowBlank="1" showInputMessage="1" showErrorMessage="1" sqref="C45:C52 C36:C42" xr:uid="{00000000-0002-0000-0100-000000000000}">
      <formula1>#REF!</formula1>
    </dataValidation>
  </dataValidation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7"/>
  <sheetViews>
    <sheetView workbookViewId="0">
      <selection activeCell="C13" activeCellId="1" sqref="C20 C13"/>
    </sheetView>
  </sheetViews>
  <sheetFormatPr baseColWidth="10" defaultColWidth="8.83203125" defaultRowHeight="15" x14ac:dyDescent="0.2"/>
  <cols>
    <col min="1" max="1" width="55.33203125" bestFit="1" customWidth="1"/>
    <col min="2" max="2" width="19.1640625" bestFit="1" customWidth="1"/>
    <col min="3" max="3" width="22.5" bestFit="1" customWidth="1"/>
    <col min="4" max="4" width="16.5" bestFit="1" customWidth="1"/>
    <col min="5" max="5" width="10.6640625" customWidth="1"/>
    <col min="6" max="6" width="30.6640625" bestFit="1" customWidth="1"/>
    <col min="7" max="7" width="36.5" bestFit="1" customWidth="1"/>
    <col min="8" max="8" width="15.33203125" bestFit="1" customWidth="1"/>
    <col min="9" max="9" width="28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622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3277.24</v>
      </c>
      <c r="C3" s="51">
        <v>3277.24</v>
      </c>
      <c r="F3" s="33">
        <f>B3+B4</f>
        <v>4574.7199999999993</v>
      </c>
      <c r="G3" s="27">
        <f>C9+C10+C11+C12+C13+C14+C15+C16+C17+C18+C19+C20+C21</f>
        <v>4397.3499999999995</v>
      </c>
      <c r="H3" s="27">
        <f>F3-G3</f>
        <v>177.36999999999989</v>
      </c>
    </row>
    <row r="4" spans="1:11" x14ac:dyDescent="0.2">
      <c r="A4" s="26" t="s">
        <v>265</v>
      </c>
      <c r="B4">
        <v>1297.48</v>
      </c>
      <c r="C4">
        <v>1297.48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4574.7199999999993</v>
      </c>
      <c r="G6" s="27">
        <f>C24+C25+C26+C27+C28+C29+C30+C31+C19</f>
        <v>1117.1500000000001</v>
      </c>
      <c r="H6" s="27">
        <f>F6-G6</f>
        <v>3457.5699999999993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293</v>
      </c>
      <c r="B9" s="20" t="s">
        <v>389</v>
      </c>
      <c r="C9" s="20">
        <v>1568.84</v>
      </c>
      <c r="D9" s="26"/>
      <c r="F9" s="26"/>
      <c r="G9" s="26"/>
      <c r="H9" s="26"/>
      <c r="I9" s="26"/>
      <c r="J9" s="45"/>
    </row>
    <row r="10" spans="1:11" s="24" customFormat="1" x14ac:dyDescent="0.2">
      <c r="A10" s="20" t="s">
        <v>607</v>
      </c>
      <c r="B10" s="20" t="s">
        <v>389</v>
      </c>
      <c r="C10" s="21">
        <v>183</v>
      </c>
      <c r="D10" s="26"/>
      <c r="F10" s="26"/>
      <c r="G10" s="44"/>
      <c r="H10" s="26"/>
      <c r="I10" s="26"/>
      <c r="J10" s="45"/>
    </row>
    <row r="11" spans="1:11" s="24" customFormat="1" x14ac:dyDescent="0.2">
      <c r="A11" s="20" t="s">
        <v>609</v>
      </c>
      <c r="B11" s="20" t="s">
        <v>610</v>
      </c>
      <c r="C11" s="21">
        <v>130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311</v>
      </c>
      <c r="B12" s="20" t="s">
        <v>394</v>
      </c>
      <c r="C12" s="21">
        <v>32.1</v>
      </c>
      <c r="D12" s="26"/>
      <c r="F12" s="25">
        <f>(H3+H6)/2</f>
        <v>1817.4699999999996</v>
      </c>
      <c r="G12" s="26"/>
      <c r="H12" s="26"/>
      <c r="I12" s="26"/>
      <c r="K12" s="45"/>
    </row>
    <row r="13" spans="1:11" s="24" customFormat="1" x14ac:dyDescent="0.2">
      <c r="A13" s="20" t="s">
        <v>598</v>
      </c>
      <c r="B13" s="20" t="s">
        <v>403</v>
      </c>
      <c r="C13" s="21">
        <v>570.91999999999996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597</v>
      </c>
      <c r="B14" s="20" t="s">
        <v>402</v>
      </c>
      <c r="C14" s="21">
        <v>411.14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521</v>
      </c>
      <c r="B15" s="20" t="s">
        <v>518</v>
      </c>
      <c r="C15" s="21">
        <v>542.02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594</v>
      </c>
      <c r="B16" s="20" t="s">
        <v>398</v>
      </c>
      <c r="C16" s="21">
        <v>49.6</v>
      </c>
      <c r="D16" s="90"/>
      <c r="F16" s="26"/>
      <c r="G16" s="26"/>
      <c r="H16" s="26"/>
      <c r="I16" s="26"/>
      <c r="J16" s="26"/>
      <c r="K16" s="26"/>
    </row>
    <row r="17" spans="1:11" s="24" customFormat="1" x14ac:dyDescent="0.2">
      <c r="A17" s="20" t="s">
        <v>609</v>
      </c>
      <c r="B17" s="20" t="s">
        <v>610</v>
      </c>
      <c r="C17" s="21">
        <v>130</v>
      </c>
      <c r="D17" s="26"/>
      <c r="F17" s="26"/>
      <c r="G17" s="26"/>
      <c r="H17" s="26"/>
      <c r="I17" s="26"/>
      <c r="J17" s="26"/>
      <c r="K17" s="26"/>
    </row>
    <row r="18" spans="1:11" s="24" customFormat="1" x14ac:dyDescent="0.2">
      <c r="A18" s="20" t="s">
        <v>603</v>
      </c>
      <c r="B18" s="20" t="s">
        <v>401</v>
      </c>
      <c r="C18" s="21">
        <v>184.4</v>
      </c>
      <c r="D18" s="26"/>
      <c r="F18" s="26"/>
      <c r="G18" s="26"/>
      <c r="H18" s="26"/>
      <c r="J18" s="41"/>
    </row>
    <row r="19" spans="1:11" s="24" customFormat="1" x14ac:dyDescent="0.2">
      <c r="A19" s="20" t="s">
        <v>301</v>
      </c>
      <c r="B19" s="20" t="s">
        <v>391</v>
      </c>
      <c r="C19" s="55">
        <v>72.709999999999994</v>
      </c>
      <c r="D19" s="26"/>
      <c r="F19" s="26"/>
      <c r="G19" s="26"/>
      <c r="H19" s="26"/>
    </row>
    <row r="20" spans="1:11" s="24" customFormat="1" x14ac:dyDescent="0.2">
      <c r="A20" s="20" t="s">
        <v>595</v>
      </c>
      <c r="B20" s="20" t="s">
        <v>400</v>
      </c>
      <c r="C20" s="21">
        <v>299.61</v>
      </c>
      <c r="D20" s="26"/>
      <c r="F20" s="26"/>
      <c r="G20" s="26"/>
      <c r="H20" s="26"/>
      <c r="I20" s="102"/>
    </row>
    <row r="21" spans="1:11" s="24" customFormat="1" x14ac:dyDescent="0.2">
      <c r="A21" s="20" t="s">
        <v>604</v>
      </c>
      <c r="B21" s="20" t="s">
        <v>400</v>
      </c>
      <c r="C21" s="21">
        <v>223.01</v>
      </c>
      <c r="D21" s="26"/>
      <c r="F21" s="26"/>
      <c r="G21" s="26"/>
      <c r="H21" s="26"/>
      <c r="I21" s="102"/>
    </row>
    <row r="22" spans="1:11" s="24" customFormat="1" x14ac:dyDescent="0.2">
      <c r="A22" s="29"/>
      <c r="B22" s="29"/>
      <c r="C22" s="30"/>
      <c r="D22" s="26"/>
      <c r="F22" s="26"/>
      <c r="G22" s="26"/>
      <c r="H22" s="26"/>
      <c r="I22" s="102"/>
    </row>
    <row r="23" spans="1:11" s="24" customFormat="1" x14ac:dyDescent="0.2">
      <c r="A23" s="32" t="s">
        <v>13</v>
      </c>
      <c r="B23" s="25"/>
      <c r="C23" s="27"/>
      <c r="F23" s="26"/>
      <c r="G23" s="26"/>
      <c r="H23" s="26"/>
      <c r="I23" s="102"/>
    </row>
    <row r="24" spans="1:11" s="24" customFormat="1" x14ac:dyDescent="0.2">
      <c r="A24" s="20" t="s">
        <v>267</v>
      </c>
      <c r="B24" s="20" t="s">
        <v>404</v>
      </c>
      <c r="C24" s="55">
        <v>33.4</v>
      </c>
      <c r="D24" s="26"/>
      <c r="F24" s="26"/>
      <c r="G24" s="26"/>
      <c r="H24" s="26"/>
      <c r="I24" s="52"/>
    </row>
    <row r="25" spans="1:11" s="24" customFormat="1" x14ac:dyDescent="0.2">
      <c r="A25" s="20" t="s">
        <v>609</v>
      </c>
      <c r="B25" s="20" t="s">
        <v>610</v>
      </c>
      <c r="C25" s="21">
        <v>130</v>
      </c>
      <c r="D25" s="26"/>
      <c r="F25" s="26"/>
      <c r="G25" s="26"/>
      <c r="H25" s="26"/>
      <c r="I25" s="52"/>
    </row>
    <row r="26" spans="1:11" s="24" customFormat="1" x14ac:dyDescent="0.2">
      <c r="A26" s="20" t="s">
        <v>79</v>
      </c>
      <c r="B26" s="20" t="s">
        <v>390</v>
      </c>
      <c r="C26" s="21">
        <v>195.32</v>
      </c>
      <c r="D26" s="26"/>
      <c r="F26" s="26"/>
      <c r="G26" s="26"/>
      <c r="H26" s="26"/>
      <c r="I26" s="52"/>
    </row>
    <row r="27" spans="1:11" s="24" customFormat="1" x14ac:dyDescent="0.2">
      <c r="A27" s="20" t="s">
        <v>600</v>
      </c>
      <c r="B27" s="20" t="s">
        <v>388</v>
      </c>
      <c r="C27" s="21">
        <v>69</v>
      </c>
      <c r="D27" s="26"/>
      <c r="F27" s="26"/>
      <c r="G27" s="26"/>
      <c r="H27" s="26"/>
      <c r="I27" s="52"/>
    </row>
    <row r="28" spans="1:11" s="24" customFormat="1" x14ac:dyDescent="0.2">
      <c r="A28" s="20" t="s">
        <v>609</v>
      </c>
      <c r="B28" s="20" t="s">
        <v>610</v>
      </c>
      <c r="C28" s="21">
        <v>130</v>
      </c>
      <c r="D28" s="26"/>
      <c r="F28" s="26"/>
      <c r="G28" s="26"/>
      <c r="H28" s="26"/>
      <c r="I28" s="52"/>
    </row>
    <row r="29" spans="1:11" s="24" customFormat="1" x14ac:dyDescent="0.2">
      <c r="A29" s="20" t="s">
        <v>302</v>
      </c>
      <c r="B29" s="20" t="s">
        <v>388</v>
      </c>
      <c r="C29" s="21">
        <v>250</v>
      </c>
      <c r="D29" s="26"/>
      <c r="F29" s="26"/>
      <c r="G29" s="26"/>
      <c r="H29" s="26"/>
      <c r="I29" s="52"/>
    </row>
    <row r="30" spans="1:11" s="24" customFormat="1" x14ac:dyDescent="0.2">
      <c r="A30" s="20" t="s">
        <v>601</v>
      </c>
      <c r="B30" s="20" t="s">
        <v>395</v>
      </c>
      <c r="C30" s="21">
        <v>17.510000000000002</v>
      </c>
      <c r="D30" s="26"/>
      <c r="F30" s="26"/>
      <c r="G30" s="26"/>
      <c r="H30" s="26"/>
      <c r="I30" s="26"/>
    </row>
    <row r="31" spans="1:11" s="24" customFormat="1" x14ac:dyDescent="0.2">
      <c r="A31" s="20" t="s">
        <v>60</v>
      </c>
      <c r="B31" s="20" t="s">
        <v>395</v>
      </c>
      <c r="C31" s="21">
        <v>219.21</v>
      </c>
      <c r="D31" s="26"/>
      <c r="F31" s="26"/>
      <c r="G31" s="26"/>
      <c r="H31" s="26"/>
      <c r="I31" s="26"/>
    </row>
    <row r="32" spans="1:11" s="24" customFormat="1" x14ac:dyDescent="0.2">
      <c r="A32" s="14"/>
      <c r="B32" s="14"/>
      <c r="C32" s="14"/>
      <c r="D32" s="26"/>
      <c r="F32" s="26"/>
      <c r="G32" s="26"/>
      <c r="H32" s="26"/>
      <c r="I32" s="26"/>
    </row>
    <row r="33" spans="1:9" s="24" customFormat="1" x14ac:dyDescent="0.2">
      <c r="A33"/>
      <c r="B33"/>
      <c r="C33"/>
      <c r="D33" s="26"/>
      <c r="F33" s="26"/>
      <c r="G33" s="46"/>
      <c r="H33" s="26"/>
      <c r="I33" s="26"/>
    </row>
    <row r="34" spans="1:9" s="24" customFormat="1" x14ac:dyDescent="0.2">
      <c r="A34"/>
      <c r="B34" s="26"/>
      <c r="C34"/>
      <c r="D34" s="26"/>
      <c r="G34" s="46"/>
      <c r="H34" s="26"/>
      <c r="I34" s="26"/>
    </row>
    <row r="35" spans="1:9" s="24" customFormat="1" x14ac:dyDescent="0.2">
      <c r="C35"/>
      <c r="D35" s="26"/>
      <c r="G35" s="51"/>
      <c r="H35" s="26"/>
      <c r="I35" s="26"/>
    </row>
    <row r="36" spans="1:9" s="24" customFormat="1" x14ac:dyDescent="0.2">
      <c r="A36" s="26"/>
      <c r="B36" s="26"/>
      <c r="C36" s="26"/>
      <c r="D36" s="26"/>
      <c r="F36" s="26"/>
      <c r="G36" s="46"/>
      <c r="H36" s="26"/>
      <c r="I36" s="26"/>
    </row>
    <row r="37" spans="1:9" s="24" customFormat="1" x14ac:dyDescent="0.2">
      <c r="A37" s="89"/>
      <c r="B37" s="88"/>
      <c r="C37" s="26"/>
      <c r="D37" s="26"/>
      <c r="F37" s="26"/>
      <c r="G37" s="46"/>
      <c r="H37" s="26"/>
      <c r="I37" s="26"/>
    </row>
    <row r="38" spans="1:9" s="24" customFormat="1" x14ac:dyDescent="0.2">
      <c r="A38" s="26" t="s">
        <v>614</v>
      </c>
      <c r="B38" s="26">
        <v>0</v>
      </c>
      <c r="C38" s="26"/>
      <c r="D38" s="26"/>
      <c r="F38"/>
      <c r="G38" s="46"/>
      <c r="H38" s="26"/>
      <c r="I38" s="26"/>
    </row>
    <row r="39" spans="1:9" s="24" customFormat="1" x14ac:dyDescent="0.2">
      <c r="A39" s="26" t="s">
        <v>615</v>
      </c>
      <c r="B39" s="26">
        <v>10808.73</v>
      </c>
      <c r="C39" s="26"/>
      <c r="D39" s="26"/>
      <c r="F39" s="26"/>
      <c r="G39" s="26"/>
      <c r="H39" s="26"/>
      <c r="I39" s="26"/>
    </row>
    <row r="40" spans="1:9" s="24" customFormat="1" x14ac:dyDescent="0.2">
      <c r="A40" s="26" t="s">
        <v>616</v>
      </c>
      <c r="B40" s="101">
        <v>4508</v>
      </c>
      <c r="C40" s="26"/>
      <c r="D40" s="26"/>
      <c r="F40" s="26"/>
      <c r="G40" s="26"/>
      <c r="I40" s="26"/>
    </row>
    <row r="41" spans="1:9" s="24" customFormat="1" x14ac:dyDescent="0.2">
      <c r="A41" s="26" t="s">
        <v>617</v>
      </c>
      <c r="B41" s="26">
        <v>0</v>
      </c>
      <c r="C41" s="26"/>
      <c r="D41" s="26"/>
      <c r="F41" s="26"/>
      <c r="G41" s="26"/>
      <c r="I41" s="26"/>
    </row>
    <row r="42" spans="1:9" s="24" customFormat="1" x14ac:dyDescent="0.2">
      <c r="A42" s="26" t="s">
        <v>618</v>
      </c>
      <c r="B42" s="26">
        <v>2200.7399999999998</v>
      </c>
      <c r="C42" s="26"/>
      <c r="D42" s="26"/>
      <c r="F42" s="26"/>
      <c r="G42" s="26"/>
      <c r="H42" s="26"/>
    </row>
    <row r="43" spans="1:9" s="24" customFormat="1" x14ac:dyDescent="0.2">
      <c r="A43" s="26" t="s">
        <v>619</v>
      </c>
      <c r="B43" s="26">
        <v>436.85</v>
      </c>
      <c r="C43" s="26" t="s">
        <v>623</v>
      </c>
      <c r="D43" s="26"/>
      <c r="F43" s="26"/>
      <c r="G43" s="26"/>
      <c r="H43" s="26"/>
    </row>
    <row r="44" spans="1:9" s="26" customFormat="1" x14ac:dyDescent="0.2">
      <c r="A44" s="26" t="s">
        <v>620</v>
      </c>
      <c r="B44" s="26">
        <v>0</v>
      </c>
    </row>
    <row r="45" spans="1:9" s="26" customFormat="1" x14ac:dyDescent="0.2">
      <c r="H45" s="24"/>
    </row>
    <row r="46" spans="1:9" s="26" customFormat="1" x14ac:dyDescent="0.2">
      <c r="A46" s="26" t="s">
        <v>621</v>
      </c>
      <c r="B46" s="51">
        <v>14223.99</v>
      </c>
      <c r="G46" s="24"/>
      <c r="H46" s="24"/>
    </row>
    <row r="47" spans="1:9" s="26" customFormat="1" x14ac:dyDescent="0.2">
      <c r="H47" s="24"/>
    </row>
    <row r="48" spans="1:9" s="24" customFormat="1" x14ac:dyDescent="0.2">
      <c r="A48" s="26"/>
      <c r="B48" s="26"/>
      <c r="C48" s="26"/>
      <c r="D48" s="77"/>
      <c r="F48" s="26"/>
      <c r="G48" s="26"/>
      <c r="H48" s="26"/>
      <c r="I48" s="26"/>
    </row>
    <row r="49" spans="1:9" s="26" customFormat="1" x14ac:dyDescent="0.2"/>
    <row r="50" spans="1:9" s="26" customFormat="1" x14ac:dyDescent="0.2">
      <c r="H50"/>
    </row>
    <row r="51" spans="1:9" s="26" customFormat="1" x14ac:dyDescent="0.2">
      <c r="H51"/>
    </row>
    <row r="52" spans="1:9" s="24" customFormat="1" x14ac:dyDescent="0.2">
      <c r="A52" s="26"/>
      <c r="B52" s="26"/>
      <c r="C52" s="26"/>
      <c r="D52" s="26"/>
      <c r="F52" s="26"/>
      <c r="G52" s="26"/>
      <c r="H52" s="26"/>
      <c r="I52" s="26"/>
    </row>
    <row r="53" spans="1:9" s="24" customFormat="1" x14ac:dyDescent="0.2">
      <c r="A53" s="26"/>
      <c r="B53" s="26"/>
      <c r="C53" s="26"/>
      <c r="D53" s="26"/>
      <c r="F53"/>
      <c r="G53" s="26"/>
      <c r="H53" s="26"/>
      <c r="I53" s="26"/>
    </row>
    <row r="54" spans="1:9" s="24" customFormat="1" x14ac:dyDescent="0.2">
      <c r="A54" s="26"/>
      <c r="B54" s="26"/>
      <c r="C54"/>
      <c r="D54" s="26"/>
      <c r="F54"/>
      <c r="G54" s="26"/>
      <c r="H54"/>
      <c r="I54" s="26"/>
    </row>
    <row r="55" spans="1:9" s="26" customFormat="1" x14ac:dyDescent="0.2">
      <c r="A55" s="91"/>
      <c r="C55"/>
      <c r="G55"/>
      <c r="H55"/>
    </row>
    <row r="56" spans="1:9" s="26" customFormat="1" x14ac:dyDescent="0.2">
      <c r="A56" s="91"/>
      <c r="B56"/>
      <c r="C56"/>
      <c r="G56"/>
      <c r="H56"/>
      <c r="I56"/>
    </row>
    <row r="57" spans="1:9" x14ac:dyDescent="0.2">
      <c r="A57" s="91"/>
      <c r="B57" s="26"/>
    </row>
    <row r="58" spans="1:9" x14ac:dyDescent="0.2">
      <c r="A58" s="91"/>
      <c r="B58" s="26"/>
    </row>
    <row r="59" spans="1:9" s="26" customFormat="1" x14ac:dyDescent="0.2">
      <c r="A59"/>
      <c r="B59"/>
      <c r="C59"/>
      <c r="F59"/>
      <c r="G59"/>
      <c r="H59"/>
      <c r="I59"/>
    </row>
    <row r="60" spans="1:9" s="26" customFormat="1" x14ac:dyDescent="0.2">
      <c r="A60"/>
      <c r="B60"/>
      <c r="C60"/>
      <c r="F60"/>
      <c r="G60"/>
      <c r="H60"/>
      <c r="I60"/>
    </row>
    <row r="61" spans="1:9" x14ac:dyDescent="0.2">
      <c r="A61" s="91"/>
    </row>
    <row r="62" spans="1:9" x14ac:dyDescent="0.2">
      <c r="A62" s="91"/>
    </row>
    <row r="63" spans="1:9" x14ac:dyDescent="0.2">
      <c r="A63" s="91"/>
    </row>
    <row r="64" spans="1:9" x14ac:dyDescent="0.2">
      <c r="A64" s="91"/>
    </row>
    <row r="65" spans="1:1" x14ac:dyDescent="0.2">
      <c r="A65" s="91"/>
    </row>
    <row r="66" spans="1:1" x14ac:dyDescent="0.2">
      <c r="A66" s="91"/>
    </row>
    <row r="67" spans="1:1" x14ac:dyDescent="0.2">
      <c r="A67" s="91"/>
    </row>
    <row r="68" spans="1:1" x14ac:dyDescent="0.2">
      <c r="A68" s="91"/>
    </row>
    <row r="69" spans="1:1" x14ac:dyDescent="0.2">
      <c r="A69" s="91"/>
    </row>
    <row r="70" spans="1:1" x14ac:dyDescent="0.2">
      <c r="A70" s="91"/>
    </row>
    <row r="71" spans="1:1" x14ac:dyDescent="0.2">
      <c r="A71" s="91"/>
    </row>
    <row r="72" spans="1:1" x14ac:dyDescent="0.2">
      <c r="A72" s="91"/>
    </row>
    <row r="73" spans="1:1" x14ac:dyDescent="0.2">
      <c r="A73" s="91"/>
    </row>
    <row r="74" spans="1:1" x14ac:dyDescent="0.2">
      <c r="A74" s="91"/>
    </row>
    <row r="75" spans="1:1" x14ac:dyDescent="0.2">
      <c r="A75" s="91"/>
    </row>
    <row r="76" spans="1:1" x14ac:dyDescent="0.2">
      <c r="A76" s="91"/>
    </row>
    <row r="77" spans="1:1" x14ac:dyDescent="0.2">
      <c r="A77" s="91"/>
    </row>
  </sheetData>
  <dataValidations count="1">
    <dataValidation type="list" allowBlank="1" showInputMessage="1" showErrorMessage="1" sqref="C45:C52 C36:C42" xr:uid="{00000000-0002-0000-0200-000000000000}">
      <formula1>#REF!</formula1>
    </dataValidation>
  </dataValidation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7"/>
  <sheetViews>
    <sheetView workbookViewId="0">
      <selection activeCell="F12" sqref="F12"/>
    </sheetView>
  </sheetViews>
  <sheetFormatPr baseColWidth="10" defaultColWidth="8.83203125" defaultRowHeight="15" x14ac:dyDescent="0.2"/>
  <cols>
    <col min="1" max="1" width="55.33203125" bestFit="1" customWidth="1"/>
    <col min="2" max="2" width="19.1640625" bestFit="1" customWidth="1"/>
    <col min="3" max="3" width="20.5" bestFit="1" customWidth="1"/>
    <col min="4" max="4" width="16.5" bestFit="1" customWidth="1"/>
    <col min="5" max="5" width="10.6640625" customWidth="1"/>
    <col min="6" max="6" width="30.6640625" bestFit="1" customWidth="1"/>
    <col min="7" max="7" width="29.6640625" bestFit="1" customWidth="1"/>
    <col min="8" max="8" width="15.33203125" bestFit="1" customWidth="1"/>
    <col min="9" max="9" width="28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613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3277.24</v>
      </c>
      <c r="C3" s="51">
        <v>3277.24</v>
      </c>
      <c r="F3" s="33">
        <f>B3+B4</f>
        <v>4574.7199999999993</v>
      </c>
      <c r="G3" s="27">
        <f>C9+C10+C11+C12+C13+C14+C15+C16+C17+C18+C31+C19+C20</f>
        <v>4366.6099999999997</v>
      </c>
      <c r="H3" s="27">
        <f>F3-G3</f>
        <v>208.10999999999967</v>
      </c>
    </row>
    <row r="4" spans="1:11" x14ac:dyDescent="0.2">
      <c r="A4" s="26" t="s">
        <v>265</v>
      </c>
      <c r="B4">
        <v>1297.48</v>
      </c>
      <c r="C4">
        <v>1297.48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4574.7199999999993</v>
      </c>
      <c r="G6" s="27">
        <f>C23+C24+C25+C26+C27+C28+C29+C30+C31</f>
        <v>1126.94</v>
      </c>
      <c r="H6" s="27">
        <f>F6-G6</f>
        <v>3447.7799999999993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293</v>
      </c>
      <c r="B9" s="20" t="s">
        <v>389</v>
      </c>
      <c r="C9" s="20">
        <v>1568.84</v>
      </c>
      <c r="D9" s="26"/>
      <c r="F9" s="26"/>
      <c r="G9" s="26"/>
      <c r="H9" s="26"/>
      <c r="I9" s="26"/>
      <c r="J9" s="45"/>
    </row>
    <row r="10" spans="1:11" s="24" customFormat="1" x14ac:dyDescent="0.2">
      <c r="A10" s="20" t="s">
        <v>607</v>
      </c>
      <c r="B10" s="20" t="s">
        <v>389</v>
      </c>
      <c r="C10" s="21">
        <v>183</v>
      </c>
      <c r="D10" s="26"/>
      <c r="F10" s="26"/>
      <c r="G10" s="44"/>
      <c r="H10" s="26"/>
      <c r="I10" s="26"/>
      <c r="J10" s="45"/>
    </row>
    <row r="11" spans="1:11" s="24" customFormat="1" x14ac:dyDescent="0.2">
      <c r="A11" s="20" t="s">
        <v>609</v>
      </c>
      <c r="B11" s="20" t="s">
        <v>610</v>
      </c>
      <c r="C11" s="21">
        <v>130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311</v>
      </c>
      <c r="B12" s="20" t="s">
        <v>394</v>
      </c>
      <c r="C12" s="21">
        <v>32.1</v>
      </c>
      <c r="D12" s="26"/>
      <c r="F12" s="25">
        <f>(H3+H6)/2</f>
        <v>1827.9449999999995</v>
      </c>
      <c r="G12" s="26"/>
      <c r="H12" s="26"/>
      <c r="I12" s="26"/>
      <c r="K12" s="45"/>
    </row>
    <row r="13" spans="1:11" s="24" customFormat="1" x14ac:dyDescent="0.2">
      <c r="A13" s="20" t="s">
        <v>598</v>
      </c>
      <c r="B13" s="20" t="s">
        <v>403</v>
      </c>
      <c r="C13" s="21">
        <v>570.91999999999996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597</v>
      </c>
      <c r="B14" s="20" t="s">
        <v>402</v>
      </c>
      <c r="C14" s="21">
        <v>411.14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521</v>
      </c>
      <c r="B15" s="20" t="s">
        <v>518</v>
      </c>
      <c r="C15" s="21">
        <v>542.02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594</v>
      </c>
      <c r="B16" s="20" t="s">
        <v>398</v>
      </c>
      <c r="C16" s="21">
        <v>49.6</v>
      </c>
      <c r="D16" s="90"/>
      <c r="F16" s="26"/>
      <c r="G16" s="26"/>
      <c r="H16" s="26"/>
      <c r="I16" s="26"/>
      <c r="J16" s="26"/>
      <c r="K16" s="26"/>
    </row>
    <row r="17" spans="1:11" s="24" customFormat="1" x14ac:dyDescent="0.2">
      <c r="A17" s="20" t="s">
        <v>609</v>
      </c>
      <c r="B17" s="20" t="s">
        <v>610</v>
      </c>
      <c r="C17" s="21">
        <v>130</v>
      </c>
      <c r="D17" s="26"/>
      <c r="F17" s="26"/>
      <c r="G17" s="26"/>
      <c r="H17" s="26"/>
      <c r="I17" s="26"/>
      <c r="J17" s="26"/>
      <c r="K17" s="26"/>
    </row>
    <row r="18" spans="1:11" s="24" customFormat="1" x14ac:dyDescent="0.2">
      <c r="A18" s="20" t="s">
        <v>603</v>
      </c>
      <c r="B18" s="20" t="s">
        <v>401</v>
      </c>
      <c r="C18" s="21">
        <v>153.66</v>
      </c>
      <c r="D18" s="26"/>
      <c r="F18" s="26"/>
      <c r="G18" s="26"/>
      <c r="H18" s="26"/>
      <c r="J18" s="41"/>
    </row>
    <row r="19" spans="1:11" s="24" customFormat="1" x14ac:dyDescent="0.2">
      <c r="A19" s="20" t="s">
        <v>595</v>
      </c>
      <c r="B19" s="20" t="s">
        <v>400</v>
      </c>
      <c r="C19" s="21">
        <v>299.61</v>
      </c>
      <c r="D19" s="26"/>
      <c r="F19" s="26"/>
      <c r="G19" s="26"/>
      <c r="H19" s="26"/>
    </row>
    <row r="20" spans="1:11" s="24" customFormat="1" x14ac:dyDescent="0.2">
      <c r="A20" s="20" t="s">
        <v>604</v>
      </c>
      <c r="B20" s="20" t="s">
        <v>400</v>
      </c>
      <c r="C20" s="21">
        <v>223.01</v>
      </c>
      <c r="D20" s="26"/>
      <c r="F20" s="26"/>
      <c r="G20" s="26"/>
      <c r="H20" s="26"/>
    </row>
    <row r="21" spans="1:11" s="24" customFormat="1" x14ac:dyDescent="0.2">
      <c r="A21" s="29"/>
      <c r="B21" s="29"/>
      <c r="C21" s="30"/>
      <c r="D21" s="26"/>
      <c r="F21" s="26"/>
      <c r="G21" s="26"/>
      <c r="H21" s="26"/>
    </row>
    <row r="22" spans="1:11" s="24" customFormat="1" x14ac:dyDescent="0.2">
      <c r="A22" s="32" t="s">
        <v>13</v>
      </c>
      <c r="B22" s="25"/>
      <c r="C22" s="27"/>
      <c r="D22" s="26"/>
      <c r="F22" s="26"/>
      <c r="G22" s="26"/>
      <c r="H22" s="26"/>
    </row>
    <row r="23" spans="1:11" s="24" customFormat="1" x14ac:dyDescent="0.2">
      <c r="A23" s="20" t="s">
        <v>267</v>
      </c>
      <c r="B23" s="20" t="s">
        <v>404</v>
      </c>
      <c r="C23" s="55">
        <v>33.4</v>
      </c>
      <c r="F23" s="26"/>
      <c r="G23" s="26"/>
      <c r="H23" s="26"/>
    </row>
    <row r="24" spans="1:11" s="24" customFormat="1" x14ac:dyDescent="0.2">
      <c r="A24" s="20" t="s">
        <v>609</v>
      </c>
      <c r="B24" s="20" t="s">
        <v>610</v>
      </c>
      <c r="C24" s="21">
        <v>130</v>
      </c>
      <c r="D24" s="26"/>
      <c r="F24" s="26"/>
      <c r="G24" s="26"/>
      <c r="H24" s="26"/>
      <c r="I24" s="26"/>
    </row>
    <row r="25" spans="1:11" s="24" customFormat="1" x14ac:dyDescent="0.2">
      <c r="A25" s="20" t="s">
        <v>79</v>
      </c>
      <c r="B25" s="20" t="s">
        <v>390</v>
      </c>
      <c r="C25" s="21">
        <v>195.32</v>
      </c>
      <c r="D25" s="26"/>
      <c r="F25" s="26"/>
      <c r="G25" s="26"/>
      <c r="H25" s="26"/>
      <c r="I25" s="26"/>
    </row>
    <row r="26" spans="1:11" s="24" customFormat="1" x14ac:dyDescent="0.2">
      <c r="A26" s="20" t="s">
        <v>600</v>
      </c>
      <c r="B26" s="20" t="s">
        <v>388</v>
      </c>
      <c r="C26" s="21">
        <v>69</v>
      </c>
      <c r="D26" s="26"/>
      <c r="F26" s="26"/>
      <c r="G26" s="26"/>
      <c r="H26" s="26"/>
      <c r="I26" s="26"/>
    </row>
    <row r="27" spans="1:11" s="24" customFormat="1" x14ac:dyDescent="0.2">
      <c r="A27" s="20" t="s">
        <v>609</v>
      </c>
      <c r="B27" s="20" t="s">
        <v>610</v>
      </c>
      <c r="C27" s="21">
        <v>130</v>
      </c>
      <c r="D27" s="26"/>
      <c r="F27" s="26"/>
      <c r="G27" s="26"/>
      <c r="H27" s="26"/>
      <c r="I27" s="26"/>
    </row>
    <row r="28" spans="1:11" s="24" customFormat="1" x14ac:dyDescent="0.2">
      <c r="A28" s="20" t="s">
        <v>302</v>
      </c>
      <c r="B28" s="20" t="s">
        <v>388</v>
      </c>
      <c r="C28" s="21">
        <v>258</v>
      </c>
      <c r="D28" s="26"/>
      <c r="F28" s="26"/>
      <c r="G28" s="26"/>
      <c r="H28" s="26"/>
      <c r="I28" s="26"/>
    </row>
    <row r="29" spans="1:11" s="24" customFormat="1" x14ac:dyDescent="0.2">
      <c r="A29" s="20" t="s">
        <v>601</v>
      </c>
      <c r="B29" s="20" t="s">
        <v>395</v>
      </c>
      <c r="C29" s="21">
        <v>17.510000000000002</v>
      </c>
      <c r="D29" s="26"/>
      <c r="F29" s="26"/>
      <c r="G29" s="26"/>
      <c r="H29" s="26"/>
      <c r="I29" s="26"/>
    </row>
    <row r="30" spans="1:11" s="24" customFormat="1" x14ac:dyDescent="0.2">
      <c r="A30" s="20" t="s">
        <v>60</v>
      </c>
      <c r="B30" s="20" t="s">
        <v>395</v>
      </c>
      <c r="C30" s="21">
        <v>221</v>
      </c>
      <c r="D30" s="26"/>
      <c r="F30" s="26"/>
      <c r="G30" s="26"/>
      <c r="H30" s="26"/>
      <c r="I30" s="26"/>
    </row>
    <row r="31" spans="1:11" s="24" customFormat="1" x14ac:dyDescent="0.2">
      <c r="A31" s="20" t="s">
        <v>301</v>
      </c>
      <c r="B31" s="20" t="s">
        <v>391</v>
      </c>
      <c r="C31" s="55">
        <v>72.709999999999994</v>
      </c>
      <c r="D31" s="26"/>
      <c r="F31" s="26"/>
      <c r="G31" s="26"/>
      <c r="H31" s="26"/>
      <c r="I31" s="26"/>
    </row>
    <row r="32" spans="1:11" s="24" customFormat="1" x14ac:dyDescent="0.2">
      <c r="A32" s="14"/>
      <c r="B32" s="14"/>
      <c r="C32" s="14"/>
      <c r="D32" s="26"/>
      <c r="F32" s="26"/>
      <c r="G32" s="26"/>
      <c r="H32" s="26"/>
      <c r="I32" s="26"/>
    </row>
    <row r="33" spans="1:9" s="24" customFormat="1" x14ac:dyDescent="0.2">
      <c r="A33"/>
      <c r="B33"/>
      <c r="C33"/>
      <c r="D33" s="26"/>
      <c r="F33" s="26"/>
      <c r="G33" s="26"/>
      <c r="H33" s="26"/>
      <c r="I33" s="26"/>
    </row>
    <row r="34" spans="1:9" s="24" customFormat="1" x14ac:dyDescent="0.2">
      <c r="A34"/>
      <c r="B34" s="26"/>
      <c r="C34"/>
      <c r="D34" s="26"/>
      <c r="G34" s="26"/>
      <c r="H34" s="26"/>
      <c r="I34" s="26"/>
    </row>
    <row r="35" spans="1:9" s="24" customFormat="1" x14ac:dyDescent="0.2">
      <c r="C35"/>
      <c r="D35" s="26"/>
      <c r="G35" s="26"/>
      <c r="H35" s="26"/>
      <c r="I35" s="26"/>
    </row>
    <row r="36" spans="1:9" s="24" customFormat="1" x14ac:dyDescent="0.2">
      <c r="A36" s="26"/>
      <c r="B36" s="26"/>
      <c r="C36" s="26"/>
      <c r="D36" s="26"/>
      <c r="F36" s="26"/>
      <c r="G36" s="26"/>
      <c r="H36" s="26"/>
      <c r="I36" s="26"/>
    </row>
    <row r="37" spans="1:9" s="24" customFormat="1" x14ac:dyDescent="0.2">
      <c r="A37" s="89"/>
      <c r="B37" s="88"/>
      <c r="C37" s="26"/>
      <c r="D37" s="26"/>
      <c r="F37" s="26"/>
      <c r="G37" s="26"/>
      <c r="H37" s="26"/>
      <c r="I37" s="26"/>
    </row>
    <row r="38" spans="1:9" s="24" customFormat="1" x14ac:dyDescent="0.2">
      <c r="A38" s="26" t="s">
        <v>614</v>
      </c>
      <c r="B38" s="26">
        <v>0</v>
      </c>
      <c r="C38" s="26"/>
      <c r="D38" s="26"/>
      <c r="F38"/>
      <c r="G38" s="26"/>
      <c r="H38" s="26"/>
      <c r="I38" s="26"/>
    </row>
    <row r="39" spans="1:9" s="24" customFormat="1" x14ac:dyDescent="0.2">
      <c r="A39" s="26" t="s">
        <v>615</v>
      </c>
      <c r="B39" s="26">
        <v>10808.73</v>
      </c>
      <c r="C39" s="26"/>
      <c r="D39" s="26"/>
      <c r="F39" s="26"/>
      <c r="G39" s="26"/>
      <c r="H39" s="26"/>
      <c r="I39" s="26"/>
    </row>
    <row r="40" spans="1:9" s="24" customFormat="1" x14ac:dyDescent="0.2">
      <c r="A40" s="26" t="s">
        <v>616</v>
      </c>
      <c r="B40" s="101">
        <v>4508</v>
      </c>
      <c r="C40" s="26"/>
      <c r="D40" s="26"/>
      <c r="F40" s="26"/>
      <c r="G40" s="26"/>
      <c r="I40" s="26"/>
    </row>
    <row r="41" spans="1:9" s="24" customFormat="1" x14ac:dyDescent="0.2">
      <c r="A41" s="26" t="s">
        <v>617</v>
      </c>
      <c r="B41" s="26">
        <v>0</v>
      </c>
      <c r="C41" s="26"/>
      <c r="D41" s="26"/>
      <c r="F41" s="26"/>
      <c r="G41" s="26"/>
      <c r="I41" s="26"/>
    </row>
    <row r="42" spans="1:9" s="24" customFormat="1" x14ac:dyDescent="0.2">
      <c r="A42" s="26" t="s">
        <v>618</v>
      </c>
      <c r="B42" s="26">
        <v>2200.7399999999998</v>
      </c>
      <c r="C42" s="26"/>
      <c r="D42" s="26"/>
      <c r="F42" s="26"/>
      <c r="G42" s="26"/>
      <c r="H42" s="26"/>
    </row>
    <row r="43" spans="1:9" s="24" customFormat="1" x14ac:dyDescent="0.2">
      <c r="A43" s="26" t="s">
        <v>619</v>
      </c>
      <c r="B43" s="26">
        <v>436.85</v>
      </c>
      <c r="C43" s="26" t="s">
        <v>623</v>
      </c>
      <c r="D43" s="26"/>
      <c r="F43" s="26"/>
      <c r="G43" s="26"/>
      <c r="H43" s="26"/>
    </row>
    <row r="44" spans="1:9" s="26" customFormat="1" x14ac:dyDescent="0.2">
      <c r="A44" s="26" t="s">
        <v>620</v>
      </c>
      <c r="B44" s="26">
        <v>0</v>
      </c>
    </row>
    <row r="45" spans="1:9" s="26" customFormat="1" x14ac:dyDescent="0.2">
      <c r="H45" s="24"/>
    </row>
    <row r="46" spans="1:9" s="26" customFormat="1" x14ac:dyDescent="0.2">
      <c r="A46" s="26" t="s">
        <v>621</v>
      </c>
      <c r="B46" s="51">
        <v>14223.99</v>
      </c>
      <c r="G46" s="24"/>
      <c r="H46" s="24"/>
    </row>
    <row r="47" spans="1:9" s="26" customFormat="1" x14ac:dyDescent="0.2">
      <c r="H47" s="24"/>
    </row>
    <row r="48" spans="1:9" s="24" customFormat="1" x14ac:dyDescent="0.2">
      <c r="A48" s="26"/>
      <c r="B48" s="26"/>
      <c r="C48" s="26"/>
      <c r="D48" s="77"/>
      <c r="F48" s="26"/>
      <c r="G48" s="26"/>
      <c r="H48" s="26"/>
      <c r="I48" s="26"/>
    </row>
    <row r="49" spans="1:9" s="26" customFormat="1" x14ac:dyDescent="0.2"/>
    <row r="50" spans="1:9" s="26" customFormat="1" x14ac:dyDescent="0.2">
      <c r="H50"/>
    </row>
    <row r="51" spans="1:9" s="26" customFormat="1" x14ac:dyDescent="0.2">
      <c r="H51"/>
    </row>
    <row r="52" spans="1:9" s="24" customFormat="1" x14ac:dyDescent="0.2">
      <c r="A52" s="26"/>
      <c r="B52" s="26"/>
      <c r="C52" s="26"/>
      <c r="D52" s="26"/>
      <c r="F52" s="26"/>
      <c r="G52" s="26"/>
      <c r="H52" s="26"/>
      <c r="I52" s="26"/>
    </row>
    <row r="53" spans="1:9" s="24" customFormat="1" x14ac:dyDescent="0.2">
      <c r="A53" s="26"/>
      <c r="B53" s="26"/>
      <c r="C53" s="26"/>
      <c r="D53" s="26"/>
      <c r="F53"/>
      <c r="G53" s="26"/>
      <c r="H53" s="26"/>
      <c r="I53" s="26"/>
    </row>
    <row r="54" spans="1:9" s="24" customFormat="1" x14ac:dyDescent="0.2">
      <c r="A54" s="26"/>
      <c r="B54" s="26"/>
      <c r="C54"/>
      <c r="D54" s="26"/>
      <c r="F54"/>
      <c r="G54" s="26"/>
      <c r="H54"/>
      <c r="I54" s="26"/>
    </row>
    <row r="55" spans="1:9" s="26" customFormat="1" x14ac:dyDescent="0.2">
      <c r="A55" s="91"/>
      <c r="C55"/>
      <c r="G55"/>
      <c r="H55"/>
    </row>
    <row r="56" spans="1:9" s="26" customFormat="1" x14ac:dyDescent="0.2">
      <c r="A56" s="91"/>
      <c r="B56"/>
      <c r="C56"/>
      <c r="G56"/>
      <c r="H56"/>
      <c r="I56"/>
    </row>
    <row r="57" spans="1:9" x14ac:dyDescent="0.2">
      <c r="A57" s="91"/>
      <c r="B57" s="26"/>
    </row>
    <row r="58" spans="1:9" x14ac:dyDescent="0.2">
      <c r="A58" s="91"/>
      <c r="B58" s="26"/>
    </row>
    <row r="59" spans="1:9" s="26" customFormat="1" x14ac:dyDescent="0.2">
      <c r="A59"/>
      <c r="B59"/>
      <c r="C59"/>
      <c r="F59"/>
      <c r="G59"/>
      <c r="H59"/>
      <c r="I59"/>
    </row>
    <row r="60" spans="1:9" s="26" customFormat="1" x14ac:dyDescent="0.2">
      <c r="A60"/>
      <c r="B60"/>
      <c r="C60"/>
      <c r="F60"/>
      <c r="G60"/>
      <c r="H60"/>
      <c r="I60"/>
    </row>
    <row r="61" spans="1:9" x14ac:dyDescent="0.2">
      <c r="A61" s="91"/>
    </row>
    <row r="62" spans="1:9" x14ac:dyDescent="0.2">
      <c r="A62" s="91"/>
    </row>
    <row r="63" spans="1:9" x14ac:dyDescent="0.2">
      <c r="A63" s="91"/>
    </row>
    <row r="64" spans="1:9" x14ac:dyDescent="0.2">
      <c r="A64" s="91"/>
    </row>
    <row r="65" spans="1:1" x14ac:dyDescent="0.2">
      <c r="A65" s="91"/>
    </row>
    <row r="66" spans="1:1" x14ac:dyDescent="0.2">
      <c r="A66" s="91"/>
    </row>
    <row r="67" spans="1:1" x14ac:dyDescent="0.2">
      <c r="A67" s="91"/>
    </row>
    <row r="68" spans="1:1" x14ac:dyDescent="0.2">
      <c r="A68" s="91"/>
    </row>
    <row r="69" spans="1:1" x14ac:dyDescent="0.2">
      <c r="A69" s="91"/>
    </row>
    <row r="70" spans="1:1" x14ac:dyDescent="0.2">
      <c r="A70" s="91"/>
    </row>
    <row r="71" spans="1:1" x14ac:dyDescent="0.2">
      <c r="A71" s="91"/>
    </row>
    <row r="72" spans="1:1" x14ac:dyDescent="0.2">
      <c r="A72" s="91"/>
    </row>
    <row r="73" spans="1:1" x14ac:dyDescent="0.2">
      <c r="A73" s="91"/>
    </row>
    <row r="74" spans="1:1" x14ac:dyDescent="0.2">
      <c r="A74" s="91"/>
    </row>
    <row r="75" spans="1:1" x14ac:dyDescent="0.2">
      <c r="A75" s="91"/>
    </row>
    <row r="76" spans="1:1" x14ac:dyDescent="0.2">
      <c r="A76" s="91"/>
    </row>
    <row r="77" spans="1:1" x14ac:dyDescent="0.2">
      <c r="A77" s="91"/>
    </row>
  </sheetData>
  <dataValidations count="1">
    <dataValidation type="list" allowBlank="1" showInputMessage="1" showErrorMessage="1" sqref="C36:C42 C45:C52" xr:uid="{00000000-0002-0000-0300-000000000000}">
      <formula1>#REF!</formula1>
    </dataValidation>
  </dataValidation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7"/>
  <sheetViews>
    <sheetView workbookViewId="0">
      <selection activeCell="C30" sqref="C30"/>
    </sheetView>
  </sheetViews>
  <sheetFormatPr baseColWidth="10" defaultColWidth="8.83203125" defaultRowHeight="15" x14ac:dyDescent="0.2"/>
  <cols>
    <col min="1" max="1" width="55.33203125" bestFit="1" customWidth="1"/>
    <col min="2" max="2" width="19.1640625" bestFit="1" customWidth="1"/>
    <col min="3" max="3" width="20.5" bestFit="1" customWidth="1"/>
    <col min="4" max="4" width="16.5" bestFit="1" customWidth="1"/>
    <col min="5" max="5" width="10.6640625" customWidth="1"/>
    <col min="6" max="6" width="30.6640625" bestFit="1" customWidth="1"/>
    <col min="7" max="7" width="29.6640625" bestFit="1" customWidth="1"/>
    <col min="8" max="8" width="15.33203125" bestFit="1" customWidth="1"/>
    <col min="9" max="9" width="28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611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3277.24</v>
      </c>
      <c r="C3" s="51">
        <v>3277.24</v>
      </c>
      <c r="F3" s="33">
        <f>B3+B4</f>
        <v>4574.7199999999993</v>
      </c>
      <c r="G3" s="27">
        <f>C9+C10+C11+C12+C13+C14+C15+C16+C17+C18+C31+C19+C20</f>
        <v>4366.6099999999997</v>
      </c>
      <c r="H3" s="27">
        <f>F3-G3</f>
        <v>208.10999999999967</v>
      </c>
    </row>
    <row r="4" spans="1:11" x14ac:dyDescent="0.2">
      <c r="A4" s="26" t="s">
        <v>265</v>
      </c>
      <c r="B4">
        <v>1297.48</v>
      </c>
      <c r="C4">
        <v>1297.48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4574.7199999999993</v>
      </c>
      <c r="G6" s="27">
        <f>C23+C24+C25+C26+C27+C28+C29+C30+C31</f>
        <v>1092.94</v>
      </c>
      <c r="H6" s="27">
        <f>F6-G6</f>
        <v>3481.7799999999993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293</v>
      </c>
      <c r="B9" s="20" t="s">
        <v>389</v>
      </c>
      <c r="C9" s="20">
        <v>1568.84</v>
      </c>
      <c r="D9" s="26"/>
      <c r="F9" s="26"/>
      <c r="G9" s="26"/>
      <c r="H9" s="26"/>
      <c r="I9" s="26"/>
      <c r="J9" s="45"/>
    </row>
    <row r="10" spans="1:11" s="24" customFormat="1" x14ac:dyDescent="0.2">
      <c r="A10" s="20" t="s">
        <v>607</v>
      </c>
      <c r="B10" s="20" t="s">
        <v>389</v>
      </c>
      <c r="C10" s="21">
        <v>183</v>
      </c>
      <c r="D10" s="26"/>
      <c r="F10" s="26"/>
      <c r="G10" s="44"/>
      <c r="H10" s="26"/>
      <c r="I10" s="26"/>
      <c r="J10" s="45"/>
    </row>
    <row r="11" spans="1:11" s="24" customFormat="1" x14ac:dyDescent="0.2">
      <c r="A11" s="20" t="s">
        <v>609</v>
      </c>
      <c r="B11" s="20" t="s">
        <v>610</v>
      </c>
      <c r="C11" s="21">
        <v>130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311</v>
      </c>
      <c r="B12" s="20" t="s">
        <v>394</v>
      </c>
      <c r="C12" s="21">
        <v>32.1</v>
      </c>
      <c r="D12" s="26"/>
      <c r="F12" s="25">
        <f>(H3+H6)/2</f>
        <v>1844.9449999999995</v>
      </c>
      <c r="G12" s="26"/>
      <c r="H12" s="26"/>
      <c r="I12" s="26"/>
      <c r="K12" s="45"/>
    </row>
    <row r="13" spans="1:11" s="24" customFormat="1" x14ac:dyDescent="0.2">
      <c r="A13" s="20" t="s">
        <v>598</v>
      </c>
      <c r="B13" s="20" t="s">
        <v>403</v>
      </c>
      <c r="C13" s="21">
        <v>570.91999999999996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597</v>
      </c>
      <c r="B14" s="20" t="s">
        <v>402</v>
      </c>
      <c r="C14" s="21">
        <v>411.14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521</v>
      </c>
      <c r="B15" s="20" t="s">
        <v>518</v>
      </c>
      <c r="C15" s="21">
        <v>542.02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594</v>
      </c>
      <c r="B16" s="20" t="s">
        <v>398</v>
      </c>
      <c r="C16" s="21">
        <v>49.6</v>
      </c>
      <c r="D16" s="90"/>
      <c r="F16" s="26"/>
      <c r="G16" s="26"/>
      <c r="H16" s="26"/>
      <c r="I16" s="26"/>
      <c r="J16" s="26"/>
      <c r="K16" s="26"/>
    </row>
    <row r="17" spans="1:11" s="24" customFormat="1" x14ac:dyDescent="0.2">
      <c r="A17" s="20" t="s">
        <v>609</v>
      </c>
      <c r="B17" s="20" t="s">
        <v>610</v>
      </c>
      <c r="C17" s="21">
        <v>130</v>
      </c>
      <c r="D17" s="26"/>
      <c r="F17" s="26"/>
      <c r="G17" s="26"/>
      <c r="H17" s="26"/>
      <c r="I17" s="26"/>
      <c r="J17" s="26"/>
      <c r="K17" s="26"/>
    </row>
    <row r="18" spans="1:11" s="24" customFormat="1" x14ac:dyDescent="0.2">
      <c r="A18" s="20" t="s">
        <v>603</v>
      </c>
      <c r="B18" s="20" t="s">
        <v>401</v>
      </c>
      <c r="C18" s="21">
        <v>153.66</v>
      </c>
      <c r="D18" s="26"/>
      <c r="F18" s="26"/>
      <c r="G18" s="26"/>
      <c r="H18" s="26"/>
      <c r="J18" s="41"/>
    </row>
    <row r="19" spans="1:11" s="24" customFormat="1" x14ac:dyDescent="0.2">
      <c r="A19" s="20" t="s">
        <v>595</v>
      </c>
      <c r="B19" s="20" t="s">
        <v>400</v>
      </c>
      <c r="C19" s="21">
        <v>299.61</v>
      </c>
      <c r="D19" s="26"/>
      <c r="F19" s="26"/>
      <c r="G19" s="26"/>
      <c r="H19" s="26"/>
    </row>
    <row r="20" spans="1:11" s="24" customFormat="1" x14ac:dyDescent="0.2">
      <c r="A20" s="20" t="s">
        <v>604</v>
      </c>
      <c r="B20" s="20" t="s">
        <v>400</v>
      </c>
      <c r="C20" s="21">
        <v>223.01</v>
      </c>
      <c r="D20" s="26"/>
      <c r="F20" s="26"/>
      <c r="G20" s="26"/>
      <c r="H20" s="26"/>
    </row>
    <row r="21" spans="1:11" s="24" customFormat="1" x14ac:dyDescent="0.2">
      <c r="A21" s="29"/>
      <c r="B21" s="29"/>
      <c r="C21" s="30"/>
      <c r="D21" s="26"/>
      <c r="F21" s="26"/>
      <c r="G21" s="26"/>
      <c r="H21" s="26"/>
    </row>
    <row r="22" spans="1:11" s="24" customFormat="1" x14ac:dyDescent="0.2">
      <c r="A22" s="32" t="s">
        <v>13</v>
      </c>
      <c r="B22" s="25"/>
      <c r="C22" s="27"/>
      <c r="D22" s="26"/>
      <c r="F22" s="26"/>
      <c r="G22" s="26"/>
      <c r="H22" s="26"/>
    </row>
    <row r="23" spans="1:11" s="24" customFormat="1" x14ac:dyDescent="0.2">
      <c r="A23" s="20" t="s">
        <v>267</v>
      </c>
      <c r="B23" s="20" t="s">
        <v>404</v>
      </c>
      <c r="C23" s="55">
        <v>33.4</v>
      </c>
      <c r="F23" s="26"/>
      <c r="G23" s="26"/>
      <c r="H23" s="26"/>
    </row>
    <row r="24" spans="1:11" s="24" customFormat="1" x14ac:dyDescent="0.2">
      <c r="A24" s="20" t="s">
        <v>609</v>
      </c>
      <c r="B24" s="20" t="s">
        <v>610</v>
      </c>
      <c r="C24" s="21">
        <v>130</v>
      </c>
      <c r="D24" s="26"/>
      <c r="F24" s="26"/>
      <c r="G24" s="26"/>
      <c r="H24" s="26"/>
      <c r="I24" s="26"/>
    </row>
    <row r="25" spans="1:11" s="24" customFormat="1" x14ac:dyDescent="0.2">
      <c r="A25" s="20" t="s">
        <v>79</v>
      </c>
      <c r="B25" s="20" t="s">
        <v>390</v>
      </c>
      <c r="C25" s="21">
        <v>195.32</v>
      </c>
      <c r="D25" s="26"/>
      <c r="F25" s="26"/>
      <c r="G25" s="26"/>
      <c r="H25" s="26"/>
      <c r="I25" s="26"/>
    </row>
    <row r="26" spans="1:11" s="24" customFormat="1" x14ac:dyDescent="0.2">
      <c r="A26" s="20" t="s">
        <v>600</v>
      </c>
      <c r="B26" s="20" t="s">
        <v>388</v>
      </c>
      <c r="C26" s="21">
        <v>69</v>
      </c>
      <c r="D26" s="26"/>
      <c r="F26" s="26"/>
      <c r="G26" s="26"/>
      <c r="H26" s="26"/>
      <c r="I26" s="26"/>
    </row>
    <row r="27" spans="1:11" s="24" customFormat="1" x14ac:dyDescent="0.2">
      <c r="A27" s="20" t="s">
        <v>609</v>
      </c>
      <c r="B27" s="20" t="s">
        <v>610</v>
      </c>
      <c r="C27" s="21">
        <v>130</v>
      </c>
      <c r="D27" s="26"/>
      <c r="F27" s="26"/>
      <c r="G27" s="26"/>
      <c r="H27" s="26"/>
      <c r="I27" s="26"/>
    </row>
    <row r="28" spans="1:11" s="24" customFormat="1" x14ac:dyDescent="0.2">
      <c r="A28" s="20" t="s">
        <v>302</v>
      </c>
      <c r="B28" s="20" t="s">
        <v>388</v>
      </c>
      <c r="C28" s="21">
        <v>224</v>
      </c>
      <c r="D28" s="26"/>
      <c r="F28" s="26"/>
      <c r="G28" s="26"/>
      <c r="H28" s="26"/>
      <c r="I28" s="26"/>
    </row>
    <row r="29" spans="1:11" s="24" customFormat="1" x14ac:dyDescent="0.2">
      <c r="A29" s="20" t="s">
        <v>601</v>
      </c>
      <c r="B29" s="20" t="s">
        <v>395</v>
      </c>
      <c r="C29" s="21">
        <v>17.510000000000002</v>
      </c>
      <c r="D29" s="26"/>
      <c r="F29" s="26"/>
      <c r="G29" s="26"/>
      <c r="H29" s="26"/>
      <c r="I29" s="26"/>
    </row>
    <row r="30" spans="1:11" s="24" customFormat="1" x14ac:dyDescent="0.2">
      <c r="A30" s="20" t="s">
        <v>60</v>
      </c>
      <c r="B30" s="20" t="s">
        <v>395</v>
      </c>
      <c r="C30" s="21">
        <v>221</v>
      </c>
      <c r="D30" s="26"/>
      <c r="F30" s="26"/>
      <c r="G30" s="26"/>
      <c r="H30" s="26"/>
      <c r="I30" s="26"/>
    </row>
    <row r="31" spans="1:11" s="24" customFormat="1" x14ac:dyDescent="0.2">
      <c r="A31" s="20" t="s">
        <v>301</v>
      </c>
      <c r="B31" s="20" t="s">
        <v>391</v>
      </c>
      <c r="C31" s="55">
        <v>72.709999999999994</v>
      </c>
      <c r="D31" s="26"/>
      <c r="F31" s="26"/>
      <c r="G31" s="26"/>
      <c r="H31" s="26"/>
      <c r="I31" s="26"/>
    </row>
    <row r="32" spans="1:11" s="24" customFormat="1" x14ac:dyDescent="0.2">
      <c r="A32" s="14"/>
      <c r="B32" s="14"/>
      <c r="C32" s="14"/>
      <c r="D32" s="26"/>
      <c r="F32" s="26"/>
      <c r="G32" s="26"/>
      <c r="H32" s="26"/>
      <c r="I32" s="26"/>
    </row>
    <row r="33" spans="1:9" s="24" customFormat="1" x14ac:dyDescent="0.2">
      <c r="A33"/>
      <c r="B33"/>
      <c r="C33"/>
      <c r="D33" s="26"/>
      <c r="F33" s="26"/>
      <c r="G33" s="26"/>
      <c r="H33" s="26"/>
      <c r="I33" s="26"/>
    </row>
    <row r="34" spans="1:9" s="24" customFormat="1" x14ac:dyDescent="0.2">
      <c r="A34"/>
      <c r="B34" s="26"/>
      <c r="C34"/>
      <c r="D34" s="26"/>
      <c r="G34" s="26"/>
      <c r="H34" s="26"/>
      <c r="I34" s="26"/>
    </row>
    <row r="35" spans="1:9" s="24" customFormat="1" x14ac:dyDescent="0.2">
      <c r="A35" s="24" t="s">
        <v>608</v>
      </c>
      <c r="C35"/>
      <c r="D35" s="26"/>
      <c r="G35" s="26"/>
      <c r="H35" s="26"/>
      <c r="I35" s="26"/>
    </row>
    <row r="36" spans="1:9" s="24" customFormat="1" x14ac:dyDescent="0.2">
      <c r="A36" s="26"/>
      <c r="B36" s="26"/>
      <c r="C36" s="26"/>
      <c r="D36" s="26"/>
      <c r="F36" s="26"/>
      <c r="G36" s="26"/>
      <c r="H36" s="26"/>
      <c r="I36" s="26"/>
    </row>
    <row r="37" spans="1:9" s="24" customFormat="1" x14ac:dyDescent="0.2">
      <c r="A37" s="89"/>
      <c r="B37" s="88"/>
      <c r="C37" s="26"/>
      <c r="D37" s="26"/>
      <c r="F37" s="26"/>
      <c r="G37" s="26"/>
      <c r="H37" s="26"/>
      <c r="I37" s="26"/>
    </row>
    <row r="38" spans="1:9" s="24" customFormat="1" x14ac:dyDescent="0.2">
      <c r="A38" s="91"/>
      <c r="B38" s="26"/>
      <c r="C38" s="26"/>
      <c r="D38" s="26"/>
      <c r="F38"/>
      <c r="G38" s="26"/>
      <c r="H38" s="26"/>
      <c r="I38" s="26"/>
    </row>
    <row r="39" spans="1:9" s="24" customFormat="1" x14ac:dyDescent="0.2">
      <c r="A39" s="91"/>
      <c r="B39" s="26"/>
      <c r="C39" s="26"/>
      <c r="D39" s="26"/>
      <c r="F39" s="26"/>
      <c r="G39" s="26"/>
      <c r="H39" s="26"/>
      <c r="I39" s="26"/>
    </row>
    <row r="40" spans="1:9" s="24" customFormat="1" x14ac:dyDescent="0.2">
      <c r="A40" s="91"/>
      <c r="B40" s="26"/>
      <c r="C40" s="26"/>
      <c r="D40" s="26"/>
      <c r="F40" s="26"/>
      <c r="G40" s="26"/>
      <c r="I40" s="26"/>
    </row>
    <row r="41" spans="1:9" s="24" customFormat="1" x14ac:dyDescent="0.2">
      <c r="A41" s="91"/>
      <c r="B41" s="26"/>
      <c r="C41" s="26"/>
      <c r="D41" s="26"/>
      <c r="F41" s="26"/>
      <c r="G41" s="26"/>
      <c r="I41" s="26"/>
    </row>
    <row r="42" spans="1:9" s="24" customFormat="1" x14ac:dyDescent="0.2">
      <c r="A42" s="26"/>
      <c r="B42" s="26"/>
      <c r="C42" s="26"/>
      <c r="D42" s="26"/>
      <c r="F42" s="26"/>
      <c r="G42" s="26"/>
      <c r="H42" s="26"/>
    </row>
    <row r="43" spans="1:9" s="24" customFormat="1" x14ac:dyDescent="0.2">
      <c r="A43" s="87"/>
      <c r="B43" s="88"/>
      <c r="C43"/>
      <c r="D43" s="26"/>
      <c r="F43" s="26"/>
      <c r="G43" s="26"/>
      <c r="H43" s="26"/>
    </row>
    <row r="44" spans="1:9" s="26" customFormat="1" x14ac:dyDescent="0.2">
      <c r="A44" s="91"/>
      <c r="C44"/>
    </row>
    <row r="45" spans="1:9" s="26" customFormat="1" x14ac:dyDescent="0.2">
      <c r="A45" s="91"/>
      <c r="H45" s="24"/>
    </row>
    <row r="46" spans="1:9" s="26" customFormat="1" x14ac:dyDescent="0.2">
      <c r="A46" s="91"/>
      <c r="G46" s="24"/>
      <c r="H46" s="24"/>
    </row>
    <row r="47" spans="1:9" s="26" customFormat="1" x14ac:dyDescent="0.2">
      <c r="A47" s="91"/>
      <c r="H47" s="24"/>
    </row>
    <row r="48" spans="1:9" s="24" customFormat="1" x14ac:dyDescent="0.2">
      <c r="A48" s="91"/>
      <c r="B48" s="26"/>
      <c r="C48" s="26"/>
      <c r="D48" s="77"/>
      <c r="F48" s="26"/>
      <c r="G48" s="26"/>
      <c r="H48" s="26"/>
      <c r="I48" s="26"/>
    </row>
    <row r="49" spans="1:9" s="26" customFormat="1" x14ac:dyDescent="0.2">
      <c r="A49" s="91"/>
    </row>
    <row r="50" spans="1:9" s="26" customFormat="1" x14ac:dyDescent="0.2">
      <c r="A50" s="91"/>
      <c r="H50"/>
    </row>
    <row r="51" spans="1:9" s="26" customFormat="1" x14ac:dyDescent="0.2">
      <c r="A51" s="91"/>
      <c r="B51"/>
      <c r="H51"/>
    </row>
    <row r="52" spans="1:9" s="24" customFormat="1" x14ac:dyDescent="0.2">
      <c r="A52" s="26"/>
      <c r="B52" s="26"/>
      <c r="C52" s="26"/>
      <c r="D52" s="26"/>
      <c r="F52" s="26"/>
      <c r="G52" s="26"/>
      <c r="H52" s="26"/>
      <c r="I52" s="26"/>
    </row>
    <row r="53" spans="1:9" s="24" customFormat="1" x14ac:dyDescent="0.2">
      <c r="A53" s="26"/>
      <c r="B53" s="26"/>
      <c r="C53"/>
      <c r="D53" s="26"/>
      <c r="F53"/>
      <c r="G53" s="26"/>
      <c r="H53" s="26"/>
      <c r="I53" s="26"/>
    </row>
    <row r="54" spans="1:9" s="24" customFormat="1" x14ac:dyDescent="0.2">
      <c r="A54" s="26"/>
      <c r="B54" s="26"/>
      <c r="C54"/>
      <c r="D54" s="26"/>
      <c r="F54"/>
      <c r="G54" s="26"/>
      <c r="H54"/>
      <c r="I54" s="26"/>
    </row>
    <row r="55" spans="1:9" s="26" customFormat="1" x14ac:dyDescent="0.2">
      <c r="A55" s="91"/>
      <c r="C55"/>
      <c r="G55"/>
      <c r="H55"/>
    </row>
    <row r="56" spans="1:9" s="26" customFormat="1" x14ac:dyDescent="0.2">
      <c r="A56" s="91"/>
      <c r="B56"/>
      <c r="C56"/>
      <c r="G56"/>
      <c r="H56"/>
      <c r="I56"/>
    </row>
    <row r="57" spans="1:9" x14ac:dyDescent="0.2">
      <c r="A57" s="91"/>
      <c r="B57" s="26"/>
    </row>
    <row r="58" spans="1:9" x14ac:dyDescent="0.2">
      <c r="A58" s="91"/>
      <c r="B58" s="26"/>
    </row>
    <row r="59" spans="1:9" s="26" customFormat="1" x14ac:dyDescent="0.2">
      <c r="A59"/>
      <c r="B59"/>
      <c r="C59"/>
      <c r="F59"/>
      <c r="G59"/>
      <c r="H59"/>
      <c r="I59"/>
    </row>
    <row r="60" spans="1:9" s="26" customFormat="1" x14ac:dyDescent="0.2">
      <c r="A60"/>
      <c r="B60"/>
      <c r="C60"/>
      <c r="F60"/>
      <c r="G60"/>
      <c r="H60"/>
      <c r="I60"/>
    </row>
    <row r="61" spans="1:9" x14ac:dyDescent="0.2">
      <c r="A61" s="91"/>
    </row>
    <row r="62" spans="1:9" x14ac:dyDescent="0.2">
      <c r="A62" s="91"/>
    </row>
    <row r="63" spans="1:9" x14ac:dyDescent="0.2">
      <c r="A63" s="91"/>
    </row>
    <row r="64" spans="1:9" x14ac:dyDescent="0.2">
      <c r="A64" s="91"/>
    </row>
    <row r="65" spans="1:1" x14ac:dyDescent="0.2">
      <c r="A65" s="91"/>
    </row>
    <row r="66" spans="1:1" x14ac:dyDescent="0.2">
      <c r="A66" s="91"/>
    </row>
    <row r="67" spans="1:1" x14ac:dyDescent="0.2">
      <c r="A67" s="91"/>
    </row>
    <row r="68" spans="1:1" x14ac:dyDescent="0.2">
      <c r="A68" s="91"/>
    </row>
    <row r="69" spans="1:1" x14ac:dyDescent="0.2">
      <c r="A69" s="91"/>
    </row>
    <row r="70" spans="1:1" x14ac:dyDescent="0.2">
      <c r="A70" s="91"/>
    </row>
    <row r="71" spans="1:1" x14ac:dyDescent="0.2">
      <c r="A71" s="91"/>
    </row>
    <row r="72" spans="1:1" x14ac:dyDescent="0.2">
      <c r="A72" s="91"/>
    </row>
    <row r="73" spans="1:1" x14ac:dyDescent="0.2">
      <c r="A73" s="91"/>
    </row>
    <row r="74" spans="1:1" x14ac:dyDescent="0.2">
      <c r="A74" s="91"/>
    </row>
    <row r="75" spans="1:1" x14ac:dyDescent="0.2">
      <c r="A75" s="91"/>
    </row>
    <row r="76" spans="1:1" x14ac:dyDescent="0.2">
      <c r="A76" s="91"/>
    </row>
    <row r="77" spans="1:1" x14ac:dyDescent="0.2">
      <c r="A77" s="91"/>
    </row>
  </sheetData>
  <dataValidations count="1">
    <dataValidation type="list" allowBlank="1" showInputMessage="1" showErrorMessage="1" sqref="C36:C42 C45:C52" xr:uid="{00000000-0002-0000-0400-000000000000}">
      <formula1>#REF!</formula1>
    </dataValidation>
  </dataValidation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7"/>
  <sheetViews>
    <sheetView workbookViewId="0">
      <selection activeCell="A30" sqref="A30:C30"/>
    </sheetView>
  </sheetViews>
  <sheetFormatPr baseColWidth="10" defaultColWidth="8.83203125" defaultRowHeight="15" x14ac:dyDescent="0.2"/>
  <cols>
    <col min="1" max="1" width="55.33203125" bestFit="1" customWidth="1"/>
    <col min="2" max="2" width="19.1640625" bestFit="1" customWidth="1"/>
    <col min="3" max="3" width="20.5" bestFit="1" customWidth="1"/>
    <col min="4" max="4" width="16.5" bestFit="1" customWidth="1"/>
    <col min="5" max="5" width="10.6640625" customWidth="1"/>
    <col min="6" max="6" width="30.6640625" bestFit="1" customWidth="1"/>
    <col min="7" max="7" width="29.6640625" bestFit="1" customWidth="1"/>
    <col min="8" max="8" width="15.33203125" bestFit="1" customWidth="1"/>
    <col min="9" max="9" width="28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606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3277.24</v>
      </c>
      <c r="C3" s="51">
        <v>3277.24</v>
      </c>
      <c r="F3" s="33">
        <f>B3+B4</f>
        <v>4553.33</v>
      </c>
      <c r="G3" s="27">
        <f>C9+C10+C11+C12+C13+C14+C15+C16+C17+C18+C31+C19+C20</f>
        <v>4376.1499999999996</v>
      </c>
      <c r="H3" s="27">
        <f>F3-G3</f>
        <v>177.18000000000029</v>
      </c>
    </row>
    <row r="4" spans="1:11" x14ac:dyDescent="0.2">
      <c r="A4" s="26" t="s">
        <v>265</v>
      </c>
      <c r="B4">
        <v>1276.0899999999999</v>
      </c>
      <c r="C4">
        <v>1276.0899999999999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4553.33</v>
      </c>
      <c r="G6" s="27">
        <f>C23+C24+C25+C26+C27+C28+C29+C30+C31</f>
        <v>1092.94</v>
      </c>
      <c r="H6" s="27">
        <f>F6-G6</f>
        <v>3460.39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293</v>
      </c>
      <c r="B9" s="20" t="s">
        <v>389</v>
      </c>
      <c r="C9" s="20">
        <v>1578.38</v>
      </c>
      <c r="D9" s="26"/>
      <c r="F9" s="26"/>
      <c r="G9" s="26"/>
      <c r="H9" s="26"/>
      <c r="I9" s="26"/>
      <c r="J9" s="45"/>
    </row>
    <row r="10" spans="1:11" s="24" customFormat="1" x14ac:dyDescent="0.2">
      <c r="A10" s="20" t="s">
        <v>607</v>
      </c>
      <c r="B10" s="20" t="s">
        <v>389</v>
      </c>
      <c r="C10" s="21">
        <v>183</v>
      </c>
      <c r="D10" s="26"/>
      <c r="F10" s="26"/>
      <c r="G10" s="44"/>
      <c r="H10" s="26"/>
      <c r="I10" s="26"/>
      <c r="J10" s="45"/>
    </row>
    <row r="11" spans="1:11" s="24" customFormat="1" x14ac:dyDescent="0.2">
      <c r="A11" s="20" t="s">
        <v>609</v>
      </c>
      <c r="B11" s="20" t="s">
        <v>610</v>
      </c>
      <c r="C11" s="21">
        <v>130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311</v>
      </c>
      <c r="B12" s="20" t="s">
        <v>394</v>
      </c>
      <c r="C12" s="21">
        <v>32.1</v>
      </c>
      <c r="D12" s="26"/>
      <c r="F12" s="25">
        <f>(H3+H6)/2</f>
        <v>1818.7850000000001</v>
      </c>
      <c r="G12" s="26"/>
      <c r="H12" s="26"/>
      <c r="I12" s="26"/>
      <c r="K12" s="45"/>
    </row>
    <row r="13" spans="1:11" s="24" customFormat="1" x14ac:dyDescent="0.2">
      <c r="A13" s="20" t="s">
        <v>598</v>
      </c>
      <c r="B13" s="20" t="s">
        <v>403</v>
      </c>
      <c r="C13" s="21">
        <v>570.91999999999996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597</v>
      </c>
      <c r="B14" s="20" t="s">
        <v>402</v>
      </c>
      <c r="C14" s="21">
        <v>411.14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521</v>
      </c>
      <c r="B15" s="20" t="s">
        <v>518</v>
      </c>
      <c r="C15" s="21">
        <v>542.02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594</v>
      </c>
      <c r="B16" s="20" t="s">
        <v>398</v>
      </c>
      <c r="C16" s="21">
        <v>49.6</v>
      </c>
      <c r="D16" s="90"/>
      <c r="F16" s="26"/>
      <c r="G16" s="26"/>
      <c r="H16" s="26"/>
      <c r="I16" s="26"/>
      <c r="J16" s="26"/>
      <c r="K16" s="26"/>
    </row>
    <row r="17" spans="1:11" s="24" customFormat="1" x14ac:dyDescent="0.2">
      <c r="A17" s="20" t="s">
        <v>609</v>
      </c>
      <c r="B17" s="20" t="s">
        <v>610</v>
      </c>
      <c r="C17" s="21">
        <v>130</v>
      </c>
      <c r="D17" s="26"/>
      <c r="F17" s="26"/>
      <c r="G17" s="26"/>
      <c r="H17" s="26"/>
      <c r="I17" s="26"/>
      <c r="J17" s="26"/>
      <c r="K17" s="26"/>
    </row>
    <row r="18" spans="1:11" s="24" customFormat="1" x14ac:dyDescent="0.2">
      <c r="A18" s="20" t="s">
        <v>603</v>
      </c>
      <c r="B18" s="20" t="s">
        <v>401</v>
      </c>
      <c r="C18" s="21">
        <v>153.66</v>
      </c>
      <c r="D18" s="26"/>
      <c r="F18" s="26"/>
      <c r="G18" s="26"/>
      <c r="H18" s="26"/>
      <c r="J18" s="41"/>
    </row>
    <row r="19" spans="1:11" s="24" customFormat="1" x14ac:dyDescent="0.2">
      <c r="A19" s="20" t="s">
        <v>595</v>
      </c>
      <c r="B19" s="20" t="s">
        <v>400</v>
      </c>
      <c r="C19" s="21">
        <v>299.61</v>
      </c>
      <c r="D19" s="26"/>
      <c r="F19" s="26"/>
      <c r="G19" s="26"/>
      <c r="H19" s="26"/>
    </row>
    <row r="20" spans="1:11" s="24" customFormat="1" x14ac:dyDescent="0.2">
      <c r="A20" s="20" t="s">
        <v>604</v>
      </c>
      <c r="B20" s="20" t="s">
        <v>400</v>
      </c>
      <c r="C20" s="21">
        <v>223.01</v>
      </c>
      <c r="D20" s="26"/>
      <c r="F20" s="26"/>
      <c r="G20" s="26"/>
      <c r="H20" s="26"/>
    </row>
    <row r="21" spans="1:11" s="24" customFormat="1" x14ac:dyDescent="0.2">
      <c r="A21" s="14"/>
      <c r="B21" s="14"/>
      <c r="C21" s="15"/>
      <c r="D21" s="26"/>
      <c r="F21" s="26"/>
      <c r="G21" s="26"/>
      <c r="H21" s="26"/>
    </row>
    <row r="22" spans="1:11" s="24" customFormat="1" x14ac:dyDescent="0.2">
      <c r="A22" s="3" t="s">
        <v>13</v>
      </c>
      <c r="B22" s="4"/>
      <c r="C22" s="7"/>
      <c r="D22" s="26"/>
      <c r="F22" s="26"/>
      <c r="G22" s="26"/>
      <c r="H22" s="26"/>
    </row>
    <row r="23" spans="1:11" s="24" customFormat="1" x14ac:dyDescent="0.2">
      <c r="A23" s="20" t="s">
        <v>267</v>
      </c>
      <c r="B23" s="20" t="s">
        <v>404</v>
      </c>
      <c r="C23" s="55">
        <v>33.4</v>
      </c>
      <c r="F23" s="26"/>
      <c r="G23" s="26"/>
      <c r="H23" s="26"/>
    </row>
    <row r="24" spans="1:11" s="24" customFormat="1" x14ac:dyDescent="0.2">
      <c r="A24" s="20" t="s">
        <v>609</v>
      </c>
      <c r="B24" s="20" t="s">
        <v>610</v>
      </c>
      <c r="C24" s="21">
        <v>130</v>
      </c>
      <c r="D24" s="26"/>
      <c r="F24" s="26"/>
      <c r="G24" s="26"/>
      <c r="H24" s="26"/>
      <c r="I24" s="26"/>
    </row>
    <row r="25" spans="1:11" s="24" customFormat="1" x14ac:dyDescent="0.2">
      <c r="A25" s="20" t="s">
        <v>79</v>
      </c>
      <c r="B25" s="20" t="s">
        <v>390</v>
      </c>
      <c r="C25" s="21">
        <v>195.32</v>
      </c>
      <c r="D25" s="26"/>
      <c r="F25" s="26"/>
      <c r="G25" s="26"/>
      <c r="H25" s="26"/>
      <c r="I25" s="26"/>
    </row>
    <row r="26" spans="1:11" s="24" customFormat="1" x14ac:dyDescent="0.2">
      <c r="A26" s="20" t="s">
        <v>600</v>
      </c>
      <c r="B26" s="20" t="s">
        <v>388</v>
      </c>
      <c r="C26" s="21">
        <v>69</v>
      </c>
      <c r="D26" s="26"/>
      <c r="F26" s="26"/>
      <c r="G26" s="26"/>
      <c r="H26" s="26"/>
      <c r="I26" s="26"/>
    </row>
    <row r="27" spans="1:11" s="24" customFormat="1" x14ac:dyDescent="0.2">
      <c r="A27" s="20" t="s">
        <v>609</v>
      </c>
      <c r="B27" s="20" t="s">
        <v>610</v>
      </c>
      <c r="C27" s="21">
        <v>130</v>
      </c>
      <c r="D27" s="26"/>
      <c r="F27" s="26"/>
      <c r="G27" s="26"/>
      <c r="H27" s="26"/>
      <c r="I27" s="26"/>
    </row>
    <row r="28" spans="1:11" s="24" customFormat="1" x14ac:dyDescent="0.2">
      <c r="A28" s="20" t="s">
        <v>302</v>
      </c>
      <c r="B28" s="20" t="s">
        <v>388</v>
      </c>
      <c r="C28" s="21">
        <v>224</v>
      </c>
      <c r="D28" s="26"/>
      <c r="F28" s="26"/>
      <c r="G28" s="26"/>
      <c r="H28" s="26"/>
      <c r="I28" s="26"/>
    </row>
    <row r="29" spans="1:11" s="24" customFormat="1" x14ac:dyDescent="0.2">
      <c r="A29" s="20" t="s">
        <v>601</v>
      </c>
      <c r="B29" s="20" t="s">
        <v>395</v>
      </c>
      <c r="C29" s="21">
        <v>17.510000000000002</v>
      </c>
      <c r="D29" s="26"/>
      <c r="F29" s="26"/>
      <c r="G29" s="26"/>
      <c r="H29" s="26"/>
      <c r="I29" s="26"/>
    </row>
    <row r="30" spans="1:11" s="24" customFormat="1" x14ac:dyDescent="0.2">
      <c r="A30" s="20" t="s">
        <v>60</v>
      </c>
      <c r="B30" s="20" t="s">
        <v>395</v>
      </c>
      <c r="C30" s="21">
        <v>221</v>
      </c>
      <c r="D30" s="26"/>
      <c r="F30" s="26"/>
      <c r="G30" s="26"/>
      <c r="H30" s="26"/>
      <c r="I30" s="26"/>
    </row>
    <row r="31" spans="1:11" s="24" customFormat="1" x14ac:dyDescent="0.2">
      <c r="A31" s="20" t="s">
        <v>301</v>
      </c>
      <c r="B31" s="20" t="s">
        <v>612</v>
      </c>
      <c r="C31" s="55">
        <v>72.709999999999994</v>
      </c>
      <c r="D31" s="26"/>
      <c r="F31" s="26"/>
      <c r="G31" s="26"/>
      <c r="H31" s="26"/>
      <c r="I31" s="26"/>
    </row>
    <row r="32" spans="1:11" s="24" customFormat="1" x14ac:dyDescent="0.2">
      <c r="A32" s="14"/>
      <c r="B32" s="14"/>
      <c r="C32" s="14"/>
      <c r="D32" s="26"/>
      <c r="F32" s="26"/>
      <c r="G32" s="26"/>
      <c r="H32" s="26"/>
      <c r="I32" s="26"/>
    </row>
    <row r="33" spans="1:9" s="24" customFormat="1" x14ac:dyDescent="0.2">
      <c r="A33"/>
      <c r="B33"/>
      <c r="C33"/>
      <c r="D33" s="26"/>
      <c r="F33" s="26"/>
      <c r="G33" s="26"/>
      <c r="H33" s="26"/>
      <c r="I33" s="26"/>
    </row>
    <row r="34" spans="1:9" s="24" customFormat="1" x14ac:dyDescent="0.2">
      <c r="A34"/>
      <c r="B34" s="26"/>
      <c r="C34"/>
      <c r="D34" s="26"/>
      <c r="G34" s="26"/>
      <c r="H34" s="26"/>
      <c r="I34" s="26"/>
    </row>
    <row r="35" spans="1:9" s="24" customFormat="1" x14ac:dyDescent="0.2">
      <c r="A35" s="24" t="s">
        <v>608</v>
      </c>
      <c r="C35"/>
      <c r="D35" s="26"/>
      <c r="G35" s="26"/>
      <c r="H35" s="26"/>
      <c r="I35" s="26"/>
    </row>
    <row r="36" spans="1:9" s="24" customFormat="1" x14ac:dyDescent="0.2">
      <c r="A36" s="26"/>
      <c r="B36" s="26"/>
      <c r="C36" s="26"/>
      <c r="D36" s="26"/>
      <c r="F36" s="26"/>
      <c r="G36" s="26"/>
      <c r="H36" s="26"/>
      <c r="I36" s="26"/>
    </row>
    <row r="37" spans="1:9" s="24" customFormat="1" x14ac:dyDescent="0.2">
      <c r="A37" s="89"/>
      <c r="B37" s="88"/>
      <c r="C37" s="26"/>
      <c r="D37" s="26"/>
      <c r="F37" s="26"/>
      <c r="G37" s="26"/>
      <c r="H37" s="26"/>
      <c r="I37" s="26"/>
    </row>
    <row r="38" spans="1:9" s="24" customFormat="1" x14ac:dyDescent="0.2">
      <c r="A38" s="91"/>
      <c r="B38" s="26"/>
      <c r="C38" s="26"/>
      <c r="D38" s="26"/>
      <c r="F38"/>
      <c r="G38" s="26"/>
      <c r="H38" s="26"/>
      <c r="I38" s="26"/>
    </row>
    <row r="39" spans="1:9" s="24" customFormat="1" x14ac:dyDescent="0.2">
      <c r="A39" s="91"/>
      <c r="B39" s="26"/>
      <c r="C39" s="26"/>
      <c r="D39" s="26"/>
      <c r="F39" s="26"/>
      <c r="G39" s="26"/>
      <c r="H39" s="26"/>
      <c r="I39" s="26"/>
    </row>
    <row r="40" spans="1:9" s="24" customFormat="1" x14ac:dyDescent="0.2">
      <c r="A40" s="91"/>
      <c r="B40" s="26"/>
      <c r="C40" s="26"/>
      <c r="D40" s="26"/>
      <c r="F40" s="26"/>
      <c r="G40" s="26"/>
      <c r="I40" s="26"/>
    </row>
    <row r="41" spans="1:9" s="24" customFormat="1" x14ac:dyDescent="0.2">
      <c r="A41" s="91"/>
      <c r="B41" s="26"/>
      <c r="C41" s="26"/>
      <c r="D41" s="26"/>
      <c r="F41" s="26"/>
      <c r="G41" s="26"/>
      <c r="I41" s="26"/>
    </row>
    <row r="42" spans="1:9" s="24" customFormat="1" x14ac:dyDescent="0.2">
      <c r="A42" s="26"/>
      <c r="B42" s="26"/>
      <c r="C42" s="26"/>
      <c r="D42" s="26"/>
      <c r="F42" s="26"/>
      <c r="G42" s="26"/>
      <c r="H42" s="26"/>
    </row>
    <row r="43" spans="1:9" s="24" customFormat="1" x14ac:dyDescent="0.2">
      <c r="A43" s="87"/>
      <c r="B43" s="88"/>
      <c r="C43"/>
      <c r="D43" s="26"/>
      <c r="F43" s="26"/>
      <c r="G43" s="26"/>
      <c r="H43" s="26"/>
    </row>
    <row r="44" spans="1:9" s="26" customFormat="1" x14ac:dyDescent="0.2">
      <c r="A44" s="91"/>
      <c r="C44"/>
    </row>
    <row r="45" spans="1:9" s="26" customFormat="1" x14ac:dyDescent="0.2">
      <c r="A45" s="91"/>
      <c r="H45" s="24"/>
    </row>
    <row r="46" spans="1:9" s="26" customFormat="1" x14ac:dyDescent="0.2">
      <c r="A46" s="91"/>
      <c r="G46" s="24"/>
      <c r="H46" s="24"/>
    </row>
    <row r="47" spans="1:9" s="26" customFormat="1" x14ac:dyDescent="0.2">
      <c r="A47" s="91"/>
      <c r="H47" s="24"/>
    </row>
    <row r="48" spans="1:9" s="24" customFormat="1" x14ac:dyDescent="0.2">
      <c r="A48" s="91"/>
      <c r="B48" s="26"/>
      <c r="C48" s="26"/>
      <c r="D48" s="77"/>
      <c r="F48" s="26"/>
      <c r="G48" s="26"/>
      <c r="H48" s="26"/>
      <c r="I48" s="26"/>
    </row>
    <row r="49" spans="1:9" s="26" customFormat="1" x14ac:dyDescent="0.2">
      <c r="A49" s="91"/>
    </row>
    <row r="50" spans="1:9" s="26" customFormat="1" x14ac:dyDescent="0.2">
      <c r="A50" s="91"/>
      <c r="H50"/>
    </row>
    <row r="51" spans="1:9" s="26" customFormat="1" x14ac:dyDescent="0.2">
      <c r="A51" s="91"/>
      <c r="B51"/>
      <c r="H51"/>
    </row>
    <row r="52" spans="1:9" s="24" customFormat="1" x14ac:dyDescent="0.2">
      <c r="A52" s="26"/>
      <c r="B52" s="26"/>
      <c r="C52" s="26"/>
      <c r="D52" s="26"/>
      <c r="F52" s="26"/>
      <c r="G52" s="26"/>
      <c r="H52" s="26"/>
      <c r="I52" s="26"/>
    </row>
    <row r="53" spans="1:9" s="24" customFormat="1" x14ac:dyDescent="0.2">
      <c r="A53" s="26"/>
      <c r="B53" s="26"/>
      <c r="C53"/>
      <c r="D53" s="26"/>
      <c r="F53"/>
      <c r="G53" s="26"/>
      <c r="H53" s="26"/>
      <c r="I53" s="26"/>
    </row>
    <row r="54" spans="1:9" s="24" customFormat="1" x14ac:dyDescent="0.2">
      <c r="A54" s="26"/>
      <c r="B54" s="26"/>
      <c r="C54"/>
      <c r="D54" s="26"/>
      <c r="F54"/>
      <c r="G54" s="26"/>
      <c r="H54"/>
      <c r="I54" s="26"/>
    </row>
    <row r="55" spans="1:9" s="26" customFormat="1" x14ac:dyDescent="0.2">
      <c r="A55" s="91"/>
      <c r="C55"/>
      <c r="G55"/>
      <c r="H55"/>
    </row>
    <row r="56" spans="1:9" s="26" customFormat="1" x14ac:dyDescent="0.2">
      <c r="A56" s="91"/>
      <c r="B56"/>
      <c r="C56"/>
      <c r="G56"/>
      <c r="H56"/>
      <c r="I56"/>
    </row>
    <row r="57" spans="1:9" x14ac:dyDescent="0.2">
      <c r="A57" s="91"/>
      <c r="B57" s="26"/>
    </row>
    <row r="58" spans="1:9" x14ac:dyDescent="0.2">
      <c r="A58" s="91"/>
      <c r="B58" s="26"/>
    </row>
    <row r="59" spans="1:9" s="26" customFormat="1" x14ac:dyDescent="0.2">
      <c r="A59"/>
      <c r="B59"/>
      <c r="C59"/>
      <c r="F59"/>
      <c r="G59"/>
      <c r="H59"/>
      <c r="I59"/>
    </row>
    <row r="60" spans="1:9" s="26" customFormat="1" x14ac:dyDescent="0.2">
      <c r="A60"/>
      <c r="B60"/>
      <c r="C60"/>
      <c r="F60"/>
      <c r="G60"/>
      <c r="H60"/>
      <c r="I60"/>
    </row>
    <row r="61" spans="1:9" x14ac:dyDescent="0.2">
      <c r="A61" s="91"/>
    </row>
    <row r="62" spans="1:9" x14ac:dyDescent="0.2">
      <c r="A62" s="91"/>
    </row>
    <row r="63" spans="1:9" x14ac:dyDescent="0.2">
      <c r="A63" s="91"/>
    </row>
    <row r="64" spans="1:9" x14ac:dyDescent="0.2">
      <c r="A64" s="91"/>
    </row>
    <row r="65" spans="1:1" x14ac:dyDescent="0.2">
      <c r="A65" s="91"/>
    </row>
    <row r="66" spans="1:1" x14ac:dyDescent="0.2">
      <c r="A66" s="91"/>
    </row>
    <row r="67" spans="1:1" x14ac:dyDescent="0.2">
      <c r="A67" s="91"/>
    </row>
    <row r="68" spans="1:1" x14ac:dyDescent="0.2">
      <c r="A68" s="91"/>
    </row>
    <row r="69" spans="1:1" x14ac:dyDescent="0.2">
      <c r="A69" s="91"/>
    </row>
    <row r="70" spans="1:1" x14ac:dyDescent="0.2">
      <c r="A70" s="91"/>
    </row>
    <row r="71" spans="1:1" x14ac:dyDescent="0.2">
      <c r="A71" s="91"/>
    </row>
    <row r="72" spans="1:1" x14ac:dyDescent="0.2">
      <c r="A72" s="91"/>
    </row>
    <row r="73" spans="1:1" x14ac:dyDescent="0.2">
      <c r="A73" s="91"/>
    </row>
    <row r="74" spans="1:1" x14ac:dyDescent="0.2">
      <c r="A74" s="91"/>
    </row>
    <row r="75" spans="1:1" x14ac:dyDescent="0.2">
      <c r="A75" s="91"/>
    </row>
    <row r="76" spans="1:1" x14ac:dyDescent="0.2">
      <c r="A76" s="91"/>
    </row>
    <row r="77" spans="1:1" x14ac:dyDescent="0.2">
      <c r="A77" s="91"/>
    </row>
  </sheetData>
  <dataValidations count="1">
    <dataValidation type="list" allowBlank="1" showInputMessage="1" showErrorMessage="1" sqref="C36:C42 C45:C52" xr:uid="{00000000-0002-0000-0500-000000000000}">
      <formula1>#REF!</formula1>
    </dataValidation>
  </dataValidation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5"/>
  <sheetViews>
    <sheetView workbookViewId="0">
      <selection activeCell="F12" sqref="F12"/>
    </sheetView>
  </sheetViews>
  <sheetFormatPr baseColWidth="10" defaultColWidth="8.83203125" defaultRowHeight="15" x14ac:dyDescent="0.2"/>
  <cols>
    <col min="1" max="1" width="55.33203125" bestFit="1" customWidth="1"/>
    <col min="2" max="2" width="19.1640625" bestFit="1" customWidth="1"/>
    <col min="3" max="3" width="20.5" bestFit="1" customWidth="1"/>
    <col min="4" max="4" width="16.5" bestFit="1" customWidth="1"/>
    <col min="5" max="5" width="10.6640625" customWidth="1"/>
    <col min="6" max="6" width="30.6640625" bestFit="1" customWidth="1"/>
    <col min="7" max="7" width="29.6640625" bestFit="1" customWidth="1"/>
    <col min="8" max="8" width="15.33203125" bestFit="1" customWidth="1"/>
    <col min="9" max="9" width="28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605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3277.24</v>
      </c>
      <c r="C3" s="51">
        <v>3277.24</v>
      </c>
      <c r="F3" s="33">
        <f>B3+B4</f>
        <v>4553.33</v>
      </c>
      <c r="G3" s="27">
        <f>C9+C10+C11+C12+C13+C14+C15+C16+C17+C18+C19+C20+C21</f>
        <v>4455.24</v>
      </c>
      <c r="H3" s="27">
        <f>F3-G3</f>
        <v>98.090000000000146</v>
      </c>
    </row>
    <row r="4" spans="1:11" x14ac:dyDescent="0.2">
      <c r="A4" s="26" t="s">
        <v>265</v>
      </c>
      <c r="B4">
        <v>1276.0899999999999</v>
      </c>
      <c r="C4">
        <v>1276.0899999999999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4553.33</v>
      </c>
      <c r="G6" s="27">
        <f>C24+C25+C26+C27+C28+C29</f>
        <v>766.27</v>
      </c>
      <c r="H6" s="27">
        <f>F6-G6</f>
        <v>3787.06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293</v>
      </c>
      <c r="B9" s="20" t="s">
        <v>389</v>
      </c>
      <c r="C9" s="20">
        <v>1578.38</v>
      </c>
      <c r="D9" s="26"/>
      <c r="F9" s="26"/>
      <c r="G9" s="26"/>
      <c r="H9" s="26"/>
      <c r="I9" s="26"/>
      <c r="J9" s="45"/>
    </row>
    <row r="10" spans="1:11" s="24" customFormat="1" x14ac:dyDescent="0.2">
      <c r="A10" s="20" t="s">
        <v>602</v>
      </c>
      <c r="B10" s="20" t="s">
        <v>394</v>
      </c>
      <c r="C10" s="20">
        <v>250</v>
      </c>
      <c r="D10" s="26"/>
      <c r="F10" s="26"/>
      <c r="G10" s="44"/>
      <c r="H10" s="26"/>
      <c r="I10" s="26"/>
      <c r="J10" s="45"/>
    </row>
    <row r="11" spans="1:11" s="24" customFormat="1" x14ac:dyDescent="0.2">
      <c r="A11" s="20" t="s">
        <v>311</v>
      </c>
      <c r="B11" s="20" t="s">
        <v>394</v>
      </c>
      <c r="C11" s="21">
        <v>32.1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598</v>
      </c>
      <c r="B12" s="20" t="s">
        <v>403</v>
      </c>
      <c r="C12" s="21">
        <v>570.91999999999996</v>
      </c>
      <c r="D12" s="26"/>
      <c r="F12" s="25">
        <f>(H3+H6)/2</f>
        <v>1942.575</v>
      </c>
      <c r="G12" s="26"/>
      <c r="H12" s="26"/>
      <c r="I12" s="26"/>
      <c r="K12" s="45"/>
    </row>
    <row r="13" spans="1:11" s="24" customFormat="1" x14ac:dyDescent="0.2">
      <c r="A13" s="20" t="s">
        <v>597</v>
      </c>
      <c r="B13" s="20" t="s">
        <v>402</v>
      </c>
      <c r="C13" s="21">
        <v>411.14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76</v>
      </c>
      <c r="B14" s="20" t="s">
        <v>402</v>
      </c>
      <c r="C14" s="21">
        <v>14.99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521</v>
      </c>
      <c r="B15" s="20" t="s">
        <v>518</v>
      </c>
      <c r="C15" s="21">
        <v>542.02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594</v>
      </c>
      <c r="B16" s="20" t="s">
        <v>398</v>
      </c>
      <c r="C16" s="21">
        <v>49.6</v>
      </c>
      <c r="D16" s="90"/>
      <c r="F16" s="26"/>
      <c r="G16" s="26"/>
      <c r="H16" s="26"/>
      <c r="I16" s="26"/>
      <c r="J16" s="26"/>
      <c r="K16" s="26"/>
    </row>
    <row r="17" spans="1:11" s="24" customFormat="1" x14ac:dyDescent="0.2">
      <c r="A17" s="20" t="s">
        <v>603</v>
      </c>
      <c r="B17" s="20" t="s">
        <v>401</v>
      </c>
      <c r="C17" s="21">
        <v>153.66</v>
      </c>
      <c r="D17" s="26"/>
      <c r="F17" s="26"/>
      <c r="G17" s="26"/>
      <c r="H17" s="26"/>
      <c r="I17" s="26"/>
      <c r="J17" s="26"/>
      <c r="K17" s="26"/>
    </row>
    <row r="18" spans="1:11" s="24" customFormat="1" x14ac:dyDescent="0.2">
      <c r="A18" s="20" t="s">
        <v>301</v>
      </c>
      <c r="B18" s="20" t="s">
        <v>391</v>
      </c>
      <c r="C18" s="55">
        <v>111.81</v>
      </c>
      <c r="D18" s="26"/>
      <c r="F18" s="26"/>
      <c r="G18" s="26"/>
      <c r="H18" s="26"/>
      <c r="J18" s="41"/>
    </row>
    <row r="19" spans="1:11" s="24" customFormat="1" x14ac:dyDescent="0.2">
      <c r="A19" s="20" t="s">
        <v>596</v>
      </c>
      <c r="B19" s="20" t="s">
        <v>562</v>
      </c>
      <c r="C19" s="21">
        <v>218</v>
      </c>
      <c r="D19" s="26"/>
      <c r="F19" s="26"/>
      <c r="G19" s="26"/>
      <c r="H19" s="26"/>
    </row>
    <row r="20" spans="1:11" s="24" customFormat="1" x14ac:dyDescent="0.2">
      <c r="A20" s="20" t="s">
        <v>595</v>
      </c>
      <c r="B20" s="20" t="s">
        <v>400</v>
      </c>
      <c r="C20" s="21">
        <v>299.61</v>
      </c>
      <c r="D20" s="26"/>
      <c r="F20" s="26"/>
      <c r="G20" s="91"/>
      <c r="H20" s="26"/>
    </row>
    <row r="21" spans="1:11" s="24" customFormat="1" x14ac:dyDescent="0.2">
      <c r="A21" s="20" t="s">
        <v>604</v>
      </c>
      <c r="B21" s="20" t="s">
        <v>400</v>
      </c>
      <c r="C21" s="21">
        <v>223.01</v>
      </c>
      <c r="D21" s="26"/>
      <c r="F21" s="26"/>
      <c r="G21" s="100"/>
      <c r="H21" s="26"/>
    </row>
    <row r="22" spans="1:11" s="24" customFormat="1" x14ac:dyDescent="0.2">
      <c r="A22" s="14"/>
      <c r="B22" s="14"/>
      <c r="C22" s="15"/>
      <c r="D22" s="26"/>
      <c r="F22" s="26"/>
      <c r="G22" s="26"/>
      <c r="H22" s="26"/>
    </row>
    <row r="23" spans="1:11" s="24" customFormat="1" x14ac:dyDescent="0.2">
      <c r="A23" s="3" t="s">
        <v>13</v>
      </c>
      <c r="B23" s="4"/>
      <c r="C23" s="7"/>
      <c r="F23" s="26"/>
      <c r="G23" s="26"/>
      <c r="H23" s="26"/>
    </row>
    <row r="24" spans="1:11" s="24" customFormat="1" x14ac:dyDescent="0.2">
      <c r="A24" s="20" t="s">
        <v>267</v>
      </c>
      <c r="B24" s="20" t="s">
        <v>404</v>
      </c>
      <c r="C24" s="55">
        <v>33.4</v>
      </c>
      <c r="D24" s="26"/>
      <c r="F24" s="26"/>
      <c r="G24" s="26"/>
      <c r="H24" s="26"/>
      <c r="I24" s="26"/>
    </row>
    <row r="25" spans="1:11" s="24" customFormat="1" x14ac:dyDescent="0.2">
      <c r="A25" s="20" t="s">
        <v>79</v>
      </c>
      <c r="B25" s="20" t="s">
        <v>390</v>
      </c>
      <c r="C25" s="21">
        <v>195.32</v>
      </c>
      <c r="D25" s="26"/>
      <c r="F25" s="26"/>
      <c r="G25" s="54"/>
      <c r="H25" s="26"/>
      <c r="I25" s="26"/>
    </row>
    <row r="26" spans="1:11" s="24" customFormat="1" x14ac:dyDescent="0.2">
      <c r="A26" s="20" t="s">
        <v>600</v>
      </c>
      <c r="B26" s="20" t="s">
        <v>388</v>
      </c>
      <c r="C26" s="21">
        <v>69</v>
      </c>
      <c r="D26" s="26"/>
      <c r="F26" s="26"/>
      <c r="G26" s="54"/>
      <c r="H26" s="26"/>
      <c r="I26" s="26"/>
    </row>
    <row r="27" spans="1:11" s="24" customFormat="1" x14ac:dyDescent="0.2">
      <c r="A27" s="20" t="s">
        <v>302</v>
      </c>
      <c r="B27" s="20" t="s">
        <v>388</v>
      </c>
      <c r="C27" s="21">
        <v>224</v>
      </c>
      <c r="D27" s="26"/>
      <c r="F27" s="26"/>
      <c r="G27" s="26"/>
      <c r="H27" s="26"/>
      <c r="I27" s="26"/>
    </row>
    <row r="28" spans="1:11" s="24" customFormat="1" x14ac:dyDescent="0.2">
      <c r="A28" s="20" t="s">
        <v>601</v>
      </c>
      <c r="B28" s="20" t="s">
        <v>395</v>
      </c>
      <c r="C28" s="21">
        <v>17.510000000000002</v>
      </c>
      <c r="D28" s="26"/>
      <c r="F28" s="26"/>
      <c r="G28" s="26"/>
      <c r="H28" s="26"/>
      <c r="I28" s="26"/>
    </row>
    <row r="29" spans="1:11" s="24" customFormat="1" x14ac:dyDescent="0.2">
      <c r="A29" s="20" t="s">
        <v>60</v>
      </c>
      <c r="B29" s="20" t="s">
        <v>395</v>
      </c>
      <c r="C29" s="21">
        <v>227.04</v>
      </c>
      <c r="D29" s="26"/>
      <c r="F29" s="26"/>
      <c r="G29" s="26"/>
      <c r="H29" s="26"/>
      <c r="I29" s="26"/>
    </row>
    <row r="30" spans="1:11" s="24" customFormat="1" x14ac:dyDescent="0.2">
      <c r="A30" s="14"/>
      <c r="B30" s="14"/>
      <c r="C30" s="14"/>
      <c r="D30" s="26"/>
      <c r="F30" s="26"/>
      <c r="G30" s="54"/>
      <c r="H30" s="26"/>
      <c r="I30" s="26"/>
    </row>
    <row r="31" spans="1:11" s="24" customFormat="1" x14ac:dyDescent="0.2">
      <c r="A31"/>
      <c r="B31"/>
      <c r="C31"/>
      <c r="D31" s="26"/>
      <c r="F31" s="26"/>
      <c r="G31" s="26"/>
      <c r="H31" s="26"/>
      <c r="I31" s="26"/>
    </row>
    <row r="32" spans="1:11" s="24" customFormat="1" x14ac:dyDescent="0.2">
      <c r="A32"/>
      <c r="B32" s="26"/>
      <c r="C32"/>
      <c r="D32" s="26"/>
      <c r="F32" s="26"/>
      <c r="G32" s="26"/>
      <c r="H32" s="26"/>
      <c r="I32" s="26"/>
    </row>
    <row r="33" spans="1:9" s="24" customFormat="1" x14ac:dyDescent="0.2">
      <c r="C33"/>
      <c r="D33" s="26"/>
      <c r="F33" s="26"/>
      <c r="G33" s="26"/>
      <c r="H33" s="26"/>
      <c r="I33" s="26"/>
    </row>
    <row r="34" spans="1:9" s="24" customFormat="1" x14ac:dyDescent="0.2">
      <c r="A34" s="26"/>
      <c r="B34" s="26"/>
      <c r="C34" s="26"/>
      <c r="D34" s="26"/>
      <c r="G34" s="26"/>
      <c r="H34" s="26"/>
      <c r="I34" s="26"/>
    </row>
    <row r="35" spans="1:9" s="24" customFormat="1" x14ac:dyDescent="0.2">
      <c r="A35" s="89"/>
      <c r="B35" s="88"/>
      <c r="C35" s="26"/>
      <c r="D35" s="26"/>
      <c r="G35" s="26"/>
      <c r="H35" s="26"/>
      <c r="I35" s="26"/>
    </row>
    <row r="36" spans="1:9" s="24" customFormat="1" x14ac:dyDescent="0.2">
      <c r="A36" s="91"/>
      <c r="B36" s="26"/>
      <c r="C36" s="26"/>
      <c r="D36" s="26"/>
      <c r="F36" s="26"/>
      <c r="G36" s="26"/>
      <c r="H36" s="26"/>
      <c r="I36" s="26"/>
    </row>
    <row r="37" spans="1:9" s="24" customFormat="1" x14ac:dyDescent="0.2">
      <c r="A37" s="91"/>
      <c r="B37" s="26"/>
      <c r="C37" s="26"/>
      <c r="D37" s="26"/>
      <c r="F37" s="26"/>
      <c r="G37" s="26"/>
      <c r="H37" s="26"/>
      <c r="I37" s="26"/>
    </row>
    <row r="38" spans="1:9" s="24" customFormat="1" x14ac:dyDescent="0.2">
      <c r="A38" s="91"/>
      <c r="B38" s="26"/>
      <c r="C38" s="26"/>
      <c r="D38" s="26"/>
      <c r="F38"/>
      <c r="G38" s="26"/>
      <c r="H38" s="26"/>
      <c r="I38" s="26"/>
    </row>
    <row r="39" spans="1:9" s="24" customFormat="1" x14ac:dyDescent="0.2">
      <c r="A39" s="91"/>
      <c r="B39" s="26"/>
      <c r="C39" s="26"/>
      <c r="D39" s="26"/>
      <c r="F39" s="26"/>
      <c r="G39" s="26"/>
      <c r="H39" s="26"/>
      <c r="I39" s="26"/>
    </row>
    <row r="40" spans="1:9" s="24" customFormat="1" x14ac:dyDescent="0.2">
      <c r="A40" s="26"/>
      <c r="B40" s="26"/>
      <c r="C40" s="26"/>
      <c r="D40" s="26"/>
      <c r="F40" s="26"/>
      <c r="G40" s="26"/>
      <c r="I40" s="26"/>
    </row>
    <row r="41" spans="1:9" s="24" customFormat="1" x14ac:dyDescent="0.2">
      <c r="A41" s="87"/>
      <c r="B41" s="88"/>
      <c r="C41"/>
      <c r="D41" s="26"/>
      <c r="F41" s="26"/>
      <c r="G41" s="26"/>
      <c r="I41" s="26"/>
    </row>
    <row r="42" spans="1:9" s="24" customFormat="1" x14ac:dyDescent="0.2">
      <c r="A42" s="91"/>
      <c r="B42" s="26"/>
      <c r="C42"/>
      <c r="D42" s="26"/>
      <c r="F42" s="26"/>
      <c r="G42" s="26"/>
      <c r="H42" s="26"/>
    </row>
    <row r="43" spans="1:9" s="24" customFormat="1" x14ac:dyDescent="0.2">
      <c r="A43" s="91"/>
      <c r="B43" s="26"/>
      <c r="C43" s="26"/>
      <c r="D43" s="26"/>
      <c r="F43" s="26"/>
      <c r="G43" s="26"/>
      <c r="H43" s="26"/>
    </row>
    <row r="44" spans="1:9" s="26" customFormat="1" x14ac:dyDescent="0.2">
      <c r="A44" s="91"/>
    </row>
    <row r="45" spans="1:9" s="26" customFormat="1" x14ac:dyDescent="0.2">
      <c r="A45" s="91"/>
      <c r="H45" s="24"/>
    </row>
    <row r="46" spans="1:9" s="26" customFormat="1" x14ac:dyDescent="0.2">
      <c r="A46" s="91"/>
      <c r="G46" s="24"/>
      <c r="H46" s="24"/>
    </row>
    <row r="47" spans="1:9" s="26" customFormat="1" x14ac:dyDescent="0.2">
      <c r="A47" s="91"/>
      <c r="H47" s="24"/>
    </row>
    <row r="48" spans="1:9" s="24" customFormat="1" x14ac:dyDescent="0.2">
      <c r="A48" s="91"/>
      <c r="B48" s="26"/>
      <c r="C48" s="26"/>
      <c r="D48" s="77"/>
      <c r="F48" s="26"/>
      <c r="G48" s="26"/>
      <c r="H48" s="26"/>
      <c r="I48" s="26"/>
    </row>
    <row r="49" spans="1:9" s="26" customFormat="1" x14ac:dyDescent="0.2">
      <c r="A49" s="91"/>
      <c r="B49"/>
    </row>
    <row r="50" spans="1:9" s="26" customFormat="1" x14ac:dyDescent="0.2">
      <c r="H50"/>
    </row>
    <row r="51" spans="1:9" s="26" customFormat="1" x14ac:dyDescent="0.2">
      <c r="C51"/>
      <c r="H51"/>
    </row>
    <row r="52" spans="1:9" s="24" customFormat="1" x14ac:dyDescent="0.2">
      <c r="A52" s="26"/>
      <c r="B52" s="26"/>
      <c r="C52"/>
      <c r="D52" s="26"/>
      <c r="F52" s="26"/>
      <c r="G52" s="26"/>
      <c r="H52" s="26"/>
      <c r="I52" s="26"/>
    </row>
    <row r="53" spans="1:9" s="24" customFormat="1" x14ac:dyDescent="0.2">
      <c r="A53" s="91"/>
      <c r="B53" s="26"/>
      <c r="C53"/>
      <c r="D53" s="26"/>
      <c r="F53"/>
      <c r="G53" s="26"/>
      <c r="H53" s="26"/>
      <c r="I53" s="26"/>
    </row>
    <row r="54" spans="1:9" s="24" customFormat="1" x14ac:dyDescent="0.2">
      <c r="A54" s="91"/>
      <c r="B54"/>
      <c r="C54"/>
      <c r="D54" s="26"/>
      <c r="F54"/>
      <c r="G54" s="26"/>
      <c r="H54"/>
      <c r="I54" s="26"/>
    </row>
    <row r="55" spans="1:9" s="26" customFormat="1" x14ac:dyDescent="0.2">
      <c r="A55" s="91"/>
      <c r="C55"/>
      <c r="G55"/>
      <c r="H55"/>
    </row>
    <row r="56" spans="1:9" s="26" customFormat="1" x14ac:dyDescent="0.2">
      <c r="A56" s="91"/>
      <c r="C56"/>
      <c r="G56"/>
      <c r="H56"/>
      <c r="I56"/>
    </row>
    <row r="59" spans="1:9" s="26" customFormat="1" x14ac:dyDescent="0.2">
      <c r="A59" s="91"/>
      <c r="B59"/>
      <c r="C59"/>
      <c r="F59"/>
      <c r="G59"/>
      <c r="H59"/>
      <c r="I59"/>
    </row>
    <row r="60" spans="1:9" s="26" customFormat="1" x14ac:dyDescent="0.2">
      <c r="A60" s="91"/>
      <c r="B60"/>
      <c r="C60"/>
      <c r="F60"/>
      <c r="G60"/>
      <c r="H60"/>
      <c r="I60"/>
    </row>
    <row r="61" spans="1:9" x14ac:dyDescent="0.2">
      <c r="A61" s="91"/>
    </row>
    <row r="62" spans="1:9" x14ac:dyDescent="0.2">
      <c r="A62" s="91"/>
    </row>
    <row r="63" spans="1:9" x14ac:dyDescent="0.2">
      <c r="A63" s="91"/>
    </row>
    <row r="64" spans="1:9" x14ac:dyDescent="0.2">
      <c r="A64" s="91"/>
    </row>
    <row r="65" spans="1:1" x14ac:dyDescent="0.2">
      <c r="A65" s="91"/>
    </row>
    <row r="66" spans="1:1" x14ac:dyDescent="0.2">
      <c r="A66" s="91"/>
    </row>
    <row r="67" spans="1:1" x14ac:dyDescent="0.2">
      <c r="A67" s="91"/>
    </row>
    <row r="68" spans="1:1" x14ac:dyDescent="0.2">
      <c r="A68" s="91"/>
    </row>
    <row r="69" spans="1:1" x14ac:dyDescent="0.2">
      <c r="A69" s="91"/>
    </row>
    <row r="70" spans="1:1" x14ac:dyDescent="0.2">
      <c r="A70" s="91"/>
    </row>
    <row r="71" spans="1:1" x14ac:dyDescent="0.2">
      <c r="A71" s="91"/>
    </row>
    <row r="72" spans="1:1" x14ac:dyDescent="0.2">
      <c r="A72" s="91"/>
    </row>
    <row r="73" spans="1:1" x14ac:dyDescent="0.2">
      <c r="A73" s="91"/>
    </row>
    <row r="74" spans="1:1" x14ac:dyDescent="0.2">
      <c r="A74" s="91"/>
    </row>
    <row r="75" spans="1:1" x14ac:dyDescent="0.2">
      <c r="A75" s="91"/>
    </row>
  </sheetData>
  <dataValidations count="1">
    <dataValidation type="list" allowBlank="1" showInputMessage="1" showErrorMessage="1" sqref="C34:C40 C43:C50" xr:uid="{00000000-0002-0000-0600-000000000000}">
      <formula1>#REF!</formula1>
    </dataValidation>
  </dataValidation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5"/>
  <sheetViews>
    <sheetView workbookViewId="0">
      <selection activeCell="G23" sqref="G23"/>
    </sheetView>
  </sheetViews>
  <sheetFormatPr baseColWidth="10" defaultColWidth="8.83203125" defaultRowHeight="15" x14ac:dyDescent="0.2"/>
  <cols>
    <col min="1" max="1" width="55.33203125" bestFit="1" customWidth="1"/>
    <col min="2" max="2" width="19.1640625" bestFit="1" customWidth="1"/>
    <col min="3" max="3" width="20.5" bestFit="1" customWidth="1"/>
    <col min="4" max="4" width="16.5" bestFit="1" customWidth="1"/>
    <col min="5" max="5" width="10.6640625" customWidth="1"/>
    <col min="6" max="6" width="30.6640625" bestFit="1" customWidth="1"/>
    <col min="7" max="7" width="29.6640625" bestFit="1" customWidth="1"/>
    <col min="8" max="8" width="15.33203125" bestFit="1" customWidth="1"/>
    <col min="9" max="9" width="28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599</v>
      </c>
    </row>
    <row r="2" spans="1:11" x14ac:dyDescent="0.2">
      <c r="A2" s="56" t="s">
        <v>261</v>
      </c>
      <c r="B2" s="57" t="s">
        <v>263</v>
      </c>
      <c r="C2" s="56" t="s">
        <v>264</v>
      </c>
      <c r="F2" s="68" t="s">
        <v>323</v>
      </c>
      <c r="G2" s="68" t="s">
        <v>324</v>
      </c>
      <c r="H2" s="68" t="s">
        <v>322</v>
      </c>
    </row>
    <row r="3" spans="1:11" x14ac:dyDescent="0.2">
      <c r="A3" s="26" t="s">
        <v>262</v>
      </c>
      <c r="B3" s="51">
        <v>3277.24</v>
      </c>
      <c r="C3" s="51">
        <v>3277.24</v>
      </c>
      <c r="F3" s="33">
        <f>B3+B4</f>
        <v>4553.33</v>
      </c>
      <c r="G3" s="27">
        <f>C9+C10+C11+C12+C13+C14+C15+C16+C17+C18+C19+C20+C21</f>
        <v>4455.24</v>
      </c>
      <c r="H3" s="27">
        <f>F3-G3</f>
        <v>98.090000000000146</v>
      </c>
    </row>
    <row r="4" spans="1:11" x14ac:dyDescent="0.2">
      <c r="A4" s="26" t="s">
        <v>265</v>
      </c>
      <c r="B4">
        <v>1276.0899999999999</v>
      </c>
      <c r="C4">
        <v>1276.0899999999999</v>
      </c>
      <c r="F4" s="31"/>
      <c r="G4" s="31"/>
      <c r="H4" s="67"/>
      <c r="J4" s="99"/>
      <c r="K4" s="40"/>
    </row>
    <row r="5" spans="1:11" s="26" customFormat="1" x14ac:dyDescent="0.2">
      <c r="A5" s="43"/>
      <c r="B5" s="43"/>
      <c r="C5" s="43"/>
      <c r="D5"/>
      <c r="E5"/>
      <c r="F5" s="68" t="s">
        <v>325</v>
      </c>
      <c r="G5" s="68" t="s">
        <v>326</v>
      </c>
      <c r="H5" s="68" t="s">
        <v>322</v>
      </c>
    </row>
    <row r="6" spans="1:11" s="26" customFormat="1" x14ac:dyDescent="0.2">
      <c r="A6" s="43"/>
      <c r="B6" s="43"/>
      <c r="C6" s="43"/>
      <c r="D6"/>
      <c r="E6"/>
      <c r="F6" s="33">
        <f>B3+B4</f>
        <v>4553.33</v>
      </c>
      <c r="G6" s="27">
        <f>C24+C25+C26+C27+C28+C29</f>
        <v>803.94999999999993</v>
      </c>
      <c r="H6" s="27">
        <f>F6-G6</f>
        <v>3749.38</v>
      </c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51"/>
      <c r="G7" s="35"/>
      <c r="H7" s="35"/>
      <c r="J7" s="46"/>
    </row>
    <row r="8" spans="1:11" s="26" customFormat="1" x14ac:dyDescent="0.2">
      <c r="A8" s="32" t="s">
        <v>12</v>
      </c>
      <c r="B8" s="25"/>
      <c r="C8" s="32"/>
      <c r="K8" s="46"/>
    </row>
    <row r="9" spans="1:11" s="24" customFormat="1" x14ac:dyDescent="0.2">
      <c r="A9" s="20" t="s">
        <v>293</v>
      </c>
      <c r="B9" s="20" t="s">
        <v>389</v>
      </c>
      <c r="C9" s="20">
        <v>1578.38</v>
      </c>
      <c r="D9" s="26"/>
      <c r="F9" s="26"/>
      <c r="G9" s="26"/>
      <c r="H9" s="26"/>
      <c r="I9" s="26"/>
      <c r="J9" s="45"/>
    </row>
    <row r="10" spans="1:11" s="24" customFormat="1" x14ac:dyDescent="0.2">
      <c r="A10" s="20" t="s">
        <v>602</v>
      </c>
      <c r="B10" s="20" t="s">
        <v>394</v>
      </c>
      <c r="C10" s="20">
        <v>250</v>
      </c>
      <c r="D10" s="26"/>
      <c r="F10" s="26"/>
      <c r="G10" s="44"/>
      <c r="H10" s="26"/>
      <c r="I10" s="26"/>
      <c r="J10" s="45"/>
    </row>
    <row r="11" spans="1:11" s="24" customFormat="1" x14ac:dyDescent="0.2">
      <c r="A11" s="20" t="s">
        <v>311</v>
      </c>
      <c r="B11" s="20" t="s">
        <v>394</v>
      </c>
      <c r="C11" s="21">
        <v>32.1</v>
      </c>
      <c r="D11" s="26"/>
      <c r="F11" s="68" t="s">
        <v>330</v>
      </c>
      <c r="G11" s="46"/>
      <c r="H11" s="26"/>
      <c r="I11" s="26"/>
      <c r="K11" s="45"/>
    </row>
    <row r="12" spans="1:11" s="24" customFormat="1" x14ac:dyDescent="0.2">
      <c r="A12" s="20" t="s">
        <v>598</v>
      </c>
      <c r="B12" s="20" t="s">
        <v>403</v>
      </c>
      <c r="C12" s="21">
        <v>570.91999999999996</v>
      </c>
      <c r="D12" s="26"/>
      <c r="F12" s="25">
        <f>(H3+H6)/2</f>
        <v>1923.7350000000001</v>
      </c>
      <c r="G12" s="26"/>
      <c r="H12" s="26"/>
      <c r="I12" s="26"/>
      <c r="K12" s="45"/>
    </row>
    <row r="13" spans="1:11" s="24" customFormat="1" x14ac:dyDescent="0.2">
      <c r="A13" s="20" t="s">
        <v>597</v>
      </c>
      <c r="B13" s="20" t="s">
        <v>402</v>
      </c>
      <c r="C13" s="21">
        <v>411.14</v>
      </c>
      <c r="D13" s="26"/>
      <c r="F13" s="26"/>
      <c r="G13" s="26"/>
      <c r="H13" s="26"/>
      <c r="I13" s="26"/>
      <c r="K13" s="45"/>
    </row>
    <row r="14" spans="1:11" s="24" customFormat="1" x14ac:dyDescent="0.2">
      <c r="A14" s="20" t="s">
        <v>76</v>
      </c>
      <c r="B14" s="20" t="s">
        <v>402</v>
      </c>
      <c r="C14" s="21">
        <v>14.99</v>
      </c>
      <c r="D14" s="26"/>
      <c r="F14" s="26"/>
      <c r="G14" s="26"/>
      <c r="H14" s="26"/>
      <c r="I14" s="26"/>
      <c r="J14" s="51"/>
    </row>
    <row r="15" spans="1:11" s="24" customFormat="1" x14ac:dyDescent="0.2">
      <c r="A15" s="20" t="s">
        <v>521</v>
      </c>
      <c r="B15" s="20" t="s">
        <v>518</v>
      </c>
      <c r="C15" s="21">
        <v>542.02</v>
      </c>
      <c r="D15" s="26"/>
      <c r="F15" s="26"/>
      <c r="G15" s="26"/>
      <c r="H15" s="26"/>
      <c r="I15" s="26"/>
      <c r="J15" s="66"/>
      <c r="K15" s="45"/>
    </row>
    <row r="16" spans="1:11" s="24" customFormat="1" x14ac:dyDescent="0.2">
      <c r="A16" s="20" t="s">
        <v>594</v>
      </c>
      <c r="B16" s="20" t="s">
        <v>398</v>
      </c>
      <c r="C16" s="21">
        <v>49.6</v>
      </c>
      <c r="D16" s="90"/>
      <c r="F16" s="26"/>
      <c r="G16" s="26"/>
      <c r="H16" s="26"/>
      <c r="I16" s="26"/>
      <c r="J16" s="26"/>
      <c r="K16" s="26"/>
    </row>
    <row r="17" spans="1:11" s="24" customFormat="1" x14ac:dyDescent="0.2">
      <c r="A17" s="20" t="s">
        <v>603</v>
      </c>
      <c r="B17" s="20" t="s">
        <v>401</v>
      </c>
      <c r="C17" s="21">
        <v>153.66</v>
      </c>
      <c r="D17" s="26"/>
      <c r="F17" s="26"/>
      <c r="G17" s="26"/>
      <c r="H17" s="26"/>
      <c r="I17" s="26"/>
      <c r="J17" s="26"/>
      <c r="K17" s="26"/>
    </row>
    <row r="18" spans="1:11" s="24" customFormat="1" x14ac:dyDescent="0.2">
      <c r="A18" s="20" t="s">
        <v>301</v>
      </c>
      <c r="B18" s="20" t="s">
        <v>391</v>
      </c>
      <c r="C18" s="55">
        <v>111.81</v>
      </c>
      <c r="D18" s="26"/>
      <c r="F18" s="26"/>
      <c r="G18" s="26"/>
      <c r="H18" s="26"/>
      <c r="J18" s="41"/>
    </row>
    <row r="19" spans="1:11" s="24" customFormat="1" x14ac:dyDescent="0.2">
      <c r="A19" s="20" t="s">
        <v>596</v>
      </c>
      <c r="B19" s="20" t="s">
        <v>562</v>
      </c>
      <c r="C19" s="21">
        <v>218</v>
      </c>
      <c r="D19" s="26"/>
      <c r="F19" s="26"/>
      <c r="G19" s="26"/>
      <c r="H19" s="26"/>
    </row>
    <row r="20" spans="1:11" s="24" customFormat="1" x14ac:dyDescent="0.2">
      <c r="A20" s="20" t="s">
        <v>595</v>
      </c>
      <c r="B20" s="20" t="s">
        <v>400</v>
      </c>
      <c r="C20" s="21">
        <v>299.61</v>
      </c>
      <c r="D20" s="26"/>
      <c r="F20" s="26"/>
      <c r="G20" s="26"/>
      <c r="H20" s="26"/>
    </row>
    <row r="21" spans="1:11" s="24" customFormat="1" x14ac:dyDescent="0.2">
      <c r="A21" s="20" t="s">
        <v>604</v>
      </c>
      <c r="B21" s="20" t="s">
        <v>400</v>
      </c>
      <c r="C21" s="21">
        <v>223.01</v>
      </c>
      <c r="D21" s="26"/>
      <c r="F21" s="26"/>
      <c r="G21" s="26"/>
      <c r="H21" s="26"/>
    </row>
    <row r="22" spans="1:11" s="24" customFormat="1" x14ac:dyDescent="0.2">
      <c r="A22" s="29"/>
      <c r="B22" s="29"/>
      <c r="C22" s="30"/>
      <c r="D22" s="26"/>
      <c r="F22" s="26"/>
      <c r="G22" s="26"/>
      <c r="H22" s="26"/>
    </row>
    <row r="23" spans="1:11" s="24" customFormat="1" x14ac:dyDescent="0.2">
      <c r="A23" s="32" t="s">
        <v>13</v>
      </c>
      <c r="B23" s="25"/>
      <c r="C23" s="27"/>
      <c r="F23" s="26"/>
      <c r="G23" s="26"/>
      <c r="H23" s="26"/>
    </row>
    <row r="24" spans="1:11" s="24" customFormat="1" x14ac:dyDescent="0.2">
      <c r="A24" s="20" t="s">
        <v>267</v>
      </c>
      <c r="B24" s="20" t="s">
        <v>404</v>
      </c>
      <c r="C24" s="55">
        <v>33.4</v>
      </c>
      <c r="D24" s="26"/>
      <c r="F24" s="26"/>
      <c r="G24" s="26"/>
      <c r="H24" s="26"/>
      <c r="I24" s="26"/>
    </row>
    <row r="25" spans="1:11" s="24" customFormat="1" x14ac:dyDescent="0.2">
      <c r="A25" s="20" t="s">
        <v>600</v>
      </c>
      <c r="B25" s="20" t="s">
        <v>388</v>
      </c>
      <c r="C25" s="21">
        <v>69</v>
      </c>
      <c r="D25" s="26"/>
      <c r="F25" s="26"/>
      <c r="G25" s="26"/>
      <c r="H25" s="26"/>
      <c r="I25" s="26"/>
    </row>
    <row r="26" spans="1:11" s="24" customFormat="1" x14ac:dyDescent="0.2">
      <c r="A26" s="20" t="s">
        <v>79</v>
      </c>
      <c r="B26" s="20" t="s">
        <v>390</v>
      </c>
      <c r="C26" s="21">
        <v>227</v>
      </c>
      <c r="D26" s="26"/>
      <c r="F26" s="26"/>
      <c r="G26" s="26"/>
      <c r="H26" s="26"/>
      <c r="I26" s="26"/>
    </row>
    <row r="27" spans="1:11" s="24" customFormat="1" x14ac:dyDescent="0.2">
      <c r="A27" s="20" t="s">
        <v>302</v>
      </c>
      <c r="B27" s="20" t="s">
        <v>388</v>
      </c>
      <c r="C27" s="21">
        <v>230</v>
      </c>
      <c r="D27" s="26"/>
      <c r="F27" s="26"/>
      <c r="G27" s="26"/>
      <c r="H27" s="26"/>
      <c r="I27" s="26"/>
    </row>
    <row r="28" spans="1:11" s="24" customFormat="1" x14ac:dyDescent="0.2">
      <c r="A28" s="20" t="s">
        <v>601</v>
      </c>
      <c r="B28" s="20" t="s">
        <v>395</v>
      </c>
      <c r="C28" s="21">
        <v>17.510000000000002</v>
      </c>
      <c r="D28" s="26"/>
      <c r="F28" s="26"/>
      <c r="G28" s="26"/>
      <c r="H28" s="26"/>
      <c r="I28" s="26"/>
    </row>
    <row r="29" spans="1:11" s="24" customFormat="1" x14ac:dyDescent="0.2">
      <c r="A29" s="20" t="s">
        <v>60</v>
      </c>
      <c r="B29" s="20" t="s">
        <v>395</v>
      </c>
      <c r="C29" s="21">
        <v>227.04</v>
      </c>
      <c r="D29" s="26"/>
      <c r="F29" s="26"/>
      <c r="G29" s="26"/>
      <c r="H29" s="26"/>
      <c r="I29" s="26"/>
    </row>
    <row r="30" spans="1:11" s="24" customFormat="1" x14ac:dyDescent="0.2">
      <c r="A30" s="14"/>
      <c r="B30" s="14"/>
      <c r="C30" s="14"/>
      <c r="D30" s="26"/>
      <c r="F30" s="26"/>
      <c r="G30" s="26"/>
      <c r="H30" s="26"/>
      <c r="I30" s="26"/>
    </row>
    <row r="31" spans="1:11" s="24" customFormat="1" x14ac:dyDescent="0.2">
      <c r="A31"/>
      <c r="B31"/>
      <c r="C31"/>
      <c r="D31" s="26"/>
      <c r="F31" s="26"/>
      <c r="G31" s="26"/>
      <c r="H31" s="26"/>
      <c r="I31" s="26"/>
    </row>
    <row r="32" spans="1:11" s="24" customFormat="1" x14ac:dyDescent="0.2">
      <c r="A32"/>
      <c r="B32" s="26"/>
      <c r="C32"/>
      <c r="D32" s="26"/>
      <c r="F32" s="26"/>
      <c r="G32" s="26"/>
      <c r="H32" s="26"/>
      <c r="I32" s="26"/>
    </row>
    <row r="33" spans="1:9" s="24" customFormat="1" x14ac:dyDescent="0.2">
      <c r="C33"/>
      <c r="D33" s="26"/>
      <c r="F33" s="26"/>
      <c r="G33" s="26"/>
      <c r="H33" s="26"/>
      <c r="I33" s="26"/>
    </row>
    <row r="34" spans="1:9" s="24" customFormat="1" x14ac:dyDescent="0.2">
      <c r="A34" s="26"/>
      <c r="B34" s="26"/>
      <c r="C34" s="26"/>
      <c r="D34" s="26"/>
      <c r="G34" s="26"/>
      <c r="H34" s="26"/>
      <c r="I34" s="26"/>
    </row>
    <row r="35" spans="1:9" s="24" customFormat="1" x14ac:dyDescent="0.2">
      <c r="A35" s="89"/>
      <c r="B35" s="88"/>
      <c r="C35" s="26"/>
      <c r="D35" s="26"/>
      <c r="G35" s="26"/>
      <c r="H35" s="26"/>
      <c r="I35" s="26"/>
    </row>
    <row r="36" spans="1:9" s="24" customFormat="1" x14ac:dyDescent="0.2">
      <c r="A36" s="91"/>
      <c r="B36" s="26"/>
      <c r="C36" s="26"/>
      <c r="D36" s="26"/>
      <c r="F36" s="26"/>
      <c r="G36" s="26"/>
      <c r="H36" s="26"/>
      <c r="I36" s="26"/>
    </row>
    <row r="37" spans="1:9" s="24" customFormat="1" x14ac:dyDescent="0.2">
      <c r="A37" s="91"/>
      <c r="B37" s="26"/>
      <c r="C37" s="26"/>
      <c r="D37" s="26"/>
      <c r="F37" s="26"/>
      <c r="G37" s="26"/>
      <c r="H37" s="26"/>
      <c r="I37" s="26"/>
    </row>
    <row r="38" spans="1:9" s="24" customFormat="1" x14ac:dyDescent="0.2">
      <c r="A38" s="91"/>
      <c r="B38" s="26"/>
      <c r="C38" s="26"/>
      <c r="D38" s="26"/>
      <c r="F38"/>
      <c r="G38" s="26"/>
      <c r="H38" s="26"/>
      <c r="I38" s="26"/>
    </row>
    <row r="39" spans="1:9" s="24" customFormat="1" x14ac:dyDescent="0.2">
      <c r="A39" s="91"/>
      <c r="B39" s="26"/>
      <c r="C39" s="26"/>
      <c r="D39" s="26"/>
      <c r="F39" s="26"/>
      <c r="G39" s="26"/>
      <c r="H39" s="26"/>
      <c r="I39" s="26"/>
    </row>
    <row r="40" spans="1:9" s="24" customFormat="1" x14ac:dyDescent="0.2">
      <c r="A40" s="26"/>
      <c r="B40" s="26"/>
      <c r="C40" s="26"/>
      <c r="D40" s="26"/>
      <c r="F40" s="26"/>
      <c r="G40" s="26"/>
      <c r="I40" s="26"/>
    </row>
    <row r="41" spans="1:9" s="24" customFormat="1" x14ac:dyDescent="0.2">
      <c r="A41" s="87"/>
      <c r="B41" s="88"/>
      <c r="C41"/>
      <c r="D41" s="26"/>
      <c r="F41" s="26"/>
      <c r="G41" s="26"/>
      <c r="I41" s="26"/>
    </row>
    <row r="42" spans="1:9" s="24" customFormat="1" x14ac:dyDescent="0.2">
      <c r="A42" s="91"/>
      <c r="B42" s="26"/>
      <c r="C42"/>
      <c r="D42" s="26"/>
      <c r="F42" s="26"/>
      <c r="G42" s="26"/>
      <c r="H42" s="26"/>
    </row>
    <row r="43" spans="1:9" s="24" customFormat="1" x14ac:dyDescent="0.2">
      <c r="A43" s="91"/>
      <c r="B43" s="26"/>
      <c r="C43" s="26"/>
      <c r="D43" s="26"/>
      <c r="F43" s="26"/>
      <c r="G43" s="26"/>
      <c r="H43" s="26"/>
    </row>
    <row r="44" spans="1:9" s="26" customFormat="1" x14ac:dyDescent="0.2">
      <c r="A44" s="91"/>
    </row>
    <row r="45" spans="1:9" s="26" customFormat="1" x14ac:dyDescent="0.2">
      <c r="A45" s="91"/>
      <c r="H45" s="24"/>
    </row>
    <row r="46" spans="1:9" s="26" customFormat="1" x14ac:dyDescent="0.2">
      <c r="A46" s="91"/>
      <c r="G46" s="24"/>
      <c r="H46" s="24"/>
    </row>
    <row r="47" spans="1:9" s="26" customFormat="1" x14ac:dyDescent="0.2">
      <c r="A47" s="91"/>
      <c r="H47" s="24"/>
    </row>
    <row r="48" spans="1:9" s="24" customFormat="1" x14ac:dyDescent="0.2">
      <c r="A48" s="91"/>
      <c r="B48" s="26"/>
      <c r="C48" s="26"/>
      <c r="D48" s="77"/>
      <c r="F48" s="26"/>
      <c r="G48" s="26"/>
      <c r="H48" s="26"/>
      <c r="I48" s="26"/>
    </row>
    <row r="49" spans="1:9" s="26" customFormat="1" x14ac:dyDescent="0.2">
      <c r="A49" s="91"/>
      <c r="B49"/>
    </row>
    <row r="50" spans="1:9" s="26" customFormat="1" x14ac:dyDescent="0.2">
      <c r="H50"/>
    </row>
    <row r="51" spans="1:9" s="26" customFormat="1" x14ac:dyDescent="0.2">
      <c r="C51"/>
      <c r="H51"/>
    </row>
    <row r="52" spans="1:9" s="24" customFormat="1" x14ac:dyDescent="0.2">
      <c r="A52" s="26"/>
      <c r="B52" s="26"/>
      <c r="C52"/>
      <c r="D52" s="26"/>
      <c r="F52" s="26"/>
      <c r="G52" s="26"/>
      <c r="H52" s="26"/>
      <c r="I52" s="26"/>
    </row>
    <row r="53" spans="1:9" s="24" customFormat="1" x14ac:dyDescent="0.2">
      <c r="A53" s="91"/>
      <c r="B53" s="26"/>
      <c r="C53"/>
      <c r="D53" s="26"/>
      <c r="F53"/>
      <c r="G53" s="26"/>
      <c r="H53" s="26"/>
      <c r="I53" s="26"/>
    </row>
    <row r="54" spans="1:9" s="24" customFormat="1" x14ac:dyDescent="0.2">
      <c r="A54" s="91"/>
      <c r="B54"/>
      <c r="C54"/>
      <c r="D54" s="26"/>
      <c r="F54"/>
      <c r="G54" s="26"/>
      <c r="H54"/>
      <c r="I54" s="26"/>
    </row>
    <row r="55" spans="1:9" s="26" customFormat="1" x14ac:dyDescent="0.2">
      <c r="A55" s="91"/>
      <c r="C55"/>
      <c r="G55"/>
      <c r="H55"/>
    </row>
    <row r="56" spans="1:9" s="26" customFormat="1" x14ac:dyDescent="0.2">
      <c r="A56" s="91"/>
      <c r="C56"/>
      <c r="G56"/>
      <c r="H56"/>
      <c r="I56"/>
    </row>
    <row r="59" spans="1:9" s="26" customFormat="1" x14ac:dyDescent="0.2">
      <c r="A59" s="91"/>
      <c r="B59"/>
      <c r="C59"/>
      <c r="F59"/>
      <c r="G59"/>
      <c r="H59"/>
      <c r="I59"/>
    </row>
    <row r="60" spans="1:9" s="26" customFormat="1" x14ac:dyDescent="0.2">
      <c r="A60" s="91"/>
      <c r="B60"/>
      <c r="C60"/>
      <c r="F60"/>
      <c r="G60"/>
      <c r="H60"/>
      <c r="I60"/>
    </row>
    <row r="61" spans="1:9" x14ac:dyDescent="0.2">
      <c r="A61" s="91"/>
    </row>
    <row r="62" spans="1:9" x14ac:dyDescent="0.2">
      <c r="A62" s="91"/>
    </row>
    <row r="63" spans="1:9" x14ac:dyDescent="0.2">
      <c r="A63" s="91"/>
    </row>
    <row r="64" spans="1:9" x14ac:dyDescent="0.2">
      <c r="A64" s="91"/>
    </row>
    <row r="65" spans="1:1" x14ac:dyDescent="0.2">
      <c r="A65" s="91"/>
    </row>
    <row r="66" spans="1:1" x14ac:dyDescent="0.2">
      <c r="A66" s="91"/>
    </row>
    <row r="67" spans="1:1" x14ac:dyDescent="0.2">
      <c r="A67" s="91"/>
    </row>
    <row r="68" spans="1:1" x14ac:dyDescent="0.2">
      <c r="A68" s="91"/>
    </row>
    <row r="69" spans="1:1" x14ac:dyDescent="0.2">
      <c r="A69" s="91"/>
    </row>
    <row r="70" spans="1:1" x14ac:dyDescent="0.2">
      <c r="A70" s="91"/>
    </row>
    <row r="71" spans="1:1" x14ac:dyDescent="0.2">
      <c r="A71" s="91"/>
    </row>
    <row r="72" spans="1:1" x14ac:dyDescent="0.2">
      <c r="A72" s="91"/>
    </row>
    <row r="73" spans="1:1" x14ac:dyDescent="0.2">
      <c r="A73" s="91"/>
    </row>
    <row r="74" spans="1:1" x14ac:dyDescent="0.2">
      <c r="A74" s="91"/>
    </row>
    <row r="75" spans="1:1" x14ac:dyDescent="0.2">
      <c r="A75" s="91"/>
    </row>
  </sheetData>
  <dataValidations count="1">
    <dataValidation type="list" allowBlank="1" showInputMessage="1" showErrorMessage="1" sqref="C34:C40 C43:C50" xr:uid="{00000000-0002-0000-0700-000000000000}">
      <formula1>#REF!</formula1>
    </dataValidation>
  </dataValidation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0"/>
  <sheetViews>
    <sheetView topLeftCell="A4" workbookViewId="0">
      <selection activeCell="A29" sqref="A29:C29"/>
    </sheetView>
  </sheetViews>
  <sheetFormatPr baseColWidth="10" defaultColWidth="8.83203125" defaultRowHeight="15" x14ac:dyDescent="0.2"/>
  <cols>
    <col min="1" max="1" width="55.33203125" bestFit="1" customWidth="1"/>
    <col min="2" max="2" width="19.1640625" bestFit="1" customWidth="1"/>
    <col min="3" max="3" width="20.5" bestFit="1" customWidth="1"/>
    <col min="4" max="4" width="16.5" bestFit="1" customWidth="1"/>
    <col min="5" max="5" width="10.6640625" customWidth="1"/>
    <col min="6" max="6" width="30.6640625" bestFit="1" customWidth="1"/>
    <col min="7" max="7" width="29.6640625" bestFit="1" customWidth="1"/>
    <col min="8" max="8" width="15.33203125" bestFit="1" customWidth="1"/>
    <col min="9" max="9" width="28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593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3277.24</v>
      </c>
      <c r="C3" s="51">
        <v>3277.24</v>
      </c>
      <c r="H3" s="26"/>
    </row>
    <row r="4" spans="1:11" x14ac:dyDescent="0.2">
      <c r="A4" s="26" t="s">
        <v>265</v>
      </c>
      <c r="B4">
        <v>1276.0899999999999</v>
      </c>
      <c r="C4">
        <v>1276.0899999999999</v>
      </c>
      <c r="H4" s="26"/>
      <c r="J4" s="99"/>
      <c r="K4" s="40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  <c r="J7" s="46"/>
    </row>
    <row r="8" spans="1:11" s="26" customFormat="1" x14ac:dyDescent="0.2">
      <c r="A8" s="32" t="s">
        <v>12</v>
      </c>
      <c r="B8" s="25"/>
      <c r="C8" s="32"/>
      <c r="F8" s="33">
        <f>B3+B4</f>
        <v>4553.33</v>
      </c>
      <c r="G8" s="27">
        <f>C9+C10+C11+C12+C13+C14+C15+C16+C17+C18+C19+C20+C21</f>
        <v>4237.24</v>
      </c>
      <c r="H8" s="27">
        <f>F8-G8</f>
        <v>316.09000000000015</v>
      </c>
      <c r="K8" s="46"/>
    </row>
    <row r="9" spans="1:11" s="24" customFormat="1" x14ac:dyDescent="0.2">
      <c r="A9" s="20" t="s">
        <v>293</v>
      </c>
      <c r="B9" s="20" t="s">
        <v>389</v>
      </c>
      <c r="C9" s="20">
        <v>1578.38</v>
      </c>
      <c r="D9" s="26"/>
      <c r="F9" s="31"/>
      <c r="G9" s="31"/>
      <c r="H9" s="67"/>
      <c r="I9" s="26"/>
      <c r="J9" s="45"/>
    </row>
    <row r="10" spans="1:11" s="24" customFormat="1" x14ac:dyDescent="0.2">
      <c r="A10" s="20" t="s">
        <v>598</v>
      </c>
      <c r="B10" s="20" t="s">
        <v>403</v>
      </c>
      <c r="C10" s="21">
        <v>570.91999999999996</v>
      </c>
      <c r="D10" s="26"/>
      <c r="F10" s="68" t="s">
        <v>325</v>
      </c>
      <c r="G10" s="68" t="s">
        <v>326</v>
      </c>
      <c r="H10" s="68" t="s">
        <v>322</v>
      </c>
      <c r="I10" s="26"/>
      <c r="K10" s="45"/>
    </row>
    <row r="11" spans="1:11" s="24" customFormat="1" x14ac:dyDescent="0.2">
      <c r="A11" s="20" t="s">
        <v>311</v>
      </c>
      <c r="B11" s="20" t="s">
        <v>394</v>
      </c>
      <c r="C11" s="21">
        <v>32.1</v>
      </c>
      <c r="D11" s="26"/>
      <c r="F11" s="33">
        <f>B3+B4</f>
        <v>4553.33</v>
      </c>
      <c r="G11" s="27">
        <f>C24+C25+C26+C27+C28+C29</f>
        <v>791.43999999999994</v>
      </c>
      <c r="H11" s="27">
        <f>F11-G11</f>
        <v>3761.89</v>
      </c>
      <c r="I11" s="26"/>
      <c r="K11" s="45"/>
    </row>
    <row r="12" spans="1:11" s="24" customFormat="1" x14ac:dyDescent="0.2">
      <c r="A12" s="20" t="s">
        <v>597</v>
      </c>
      <c r="B12" s="20" t="s">
        <v>402</v>
      </c>
      <c r="C12" s="21">
        <v>411.14</v>
      </c>
      <c r="D12" s="26"/>
      <c r="F12" s="31"/>
      <c r="G12" s="31"/>
      <c r="H12" s="31"/>
      <c r="I12" s="26"/>
      <c r="J12" s="51"/>
    </row>
    <row r="13" spans="1:11" s="24" customFormat="1" x14ac:dyDescent="0.2">
      <c r="A13" s="20" t="s">
        <v>517</v>
      </c>
      <c r="B13" s="20" t="s">
        <v>403</v>
      </c>
      <c r="C13" s="21">
        <v>150</v>
      </c>
      <c r="D13" s="26"/>
      <c r="F13" s="31"/>
      <c r="G13" s="31"/>
      <c r="H13" s="31"/>
      <c r="I13" s="26"/>
      <c r="J13" s="66"/>
      <c r="K13" s="45"/>
    </row>
    <row r="14" spans="1:11" s="24" customFormat="1" x14ac:dyDescent="0.2">
      <c r="A14" s="20" t="s">
        <v>76</v>
      </c>
      <c r="B14" s="20" t="s">
        <v>402</v>
      </c>
      <c r="C14" s="21">
        <v>14.99</v>
      </c>
      <c r="D14" s="90"/>
      <c r="F14" s="31"/>
      <c r="G14" s="31"/>
      <c r="H14" s="31"/>
      <c r="I14" s="26"/>
      <c r="J14" s="26"/>
      <c r="K14" s="26"/>
    </row>
    <row r="15" spans="1:11" s="24" customFormat="1" x14ac:dyDescent="0.2">
      <c r="A15" s="20" t="s">
        <v>521</v>
      </c>
      <c r="B15" s="20" t="s">
        <v>518</v>
      </c>
      <c r="C15" s="21">
        <v>542.02</v>
      </c>
      <c r="D15" s="26"/>
      <c r="F15" s="31"/>
      <c r="G15" s="31"/>
      <c r="H15" s="31"/>
      <c r="I15" s="26"/>
      <c r="J15" s="26"/>
      <c r="K15" s="26"/>
    </row>
    <row r="16" spans="1:11" s="24" customFormat="1" x14ac:dyDescent="0.2">
      <c r="A16" s="20" t="s">
        <v>594</v>
      </c>
      <c r="B16" s="20" t="s">
        <v>398</v>
      </c>
      <c r="C16" s="21">
        <v>49.6</v>
      </c>
      <c r="D16" s="26"/>
      <c r="F16" s="31"/>
      <c r="G16" s="31"/>
      <c r="H16" s="31"/>
      <c r="J16" s="41"/>
    </row>
    <row r="17" spans="1:9" s="24" customFormat="1" x14ac:dyDescent="0.2">
      <c r="A17" s="20" t="s">
        <v>582</v>
      </c>
      <c r="B17" s="20" t="s">
        <v>401</v>
      </c>
      <c r="C17" s="21">
        <v>100</v>
      </c>
      <c r="D17" s="26"/>
      <c r="F17" s="31"/>
      <c r="G17" s="31"/>
      <c r="H17" s="31"/>
    </row>
    <row r="18" spans="1:9" s="24" customFormat="1" x14ac:dyDescent="0.2">
      <c r="A18" s="20" t="s">
        <v>437</v>
      </c>
      <c r="B18" s="20" t="s">
        <v>401</v>
      </c>
      <c r="C18" s="21">
        <v>153.66</v>
      </c>
      <c r="D18" s="26"/>
      <c r="F18" s="31"/>
      <c r="G18" s="31"/>
      <c r="H18" s="31"/>
    </row>
    <row r="19" spans="1:9" s="24" customFormat="1" x14ac:dyDescent="0.2">
      <c r="A19" s="20" t="s">
        <v>301</v>
      </c>
      <c r="B19" s="20" t="s">
        <v>391</v>
      </c>
      <c r="C19" s="55">
        <v>111.81</v>
      </c>
      <c r="D19" s="26"/>
      <c r="F19" s="31"/>
      <c r="G19" s="31"/>
      <c r="H19" s="31"/>
    </row>
    <row r="20" spans="1:9" s="24" customFormat="1" x14ac:dyDescent="0.2">
      <c r="A20" s="20" t="s">
        <v>595</v>
      </c>
      <c r="B20" s="20" t="s">
        <v>400</v>
      </c>
      <c r="C20" s="21">
        <v>299.61</v>
      </c>
      <c r="F20" s="31"/>
      <c r="G20" s="31"/>
      <c r="H20" s="31"/>
    </row>
    <row r="21" spans="1:9" s="24" customFormat="1" x14ac:dyDescent="0.2">
      <c r="A21" s="20" t="s">
        <v>321</v>
      </c>
      <c r="B21" s="20" t="s">
        <v>400</v>
      </c>
      <c r="C21" s="21">
        <v>223.01</v>
      </c>
      <c r="D21" s="26"/>
      <c r="F21" s="31"/>
      <c r="G21" s="31"/>
      <c r="H21" s="31"/>
      <c r="I21" s="26"/>
    </row>
    <row r="22" spans="1:9" s="24" customFormat="1" x14ac:dyDescent="0.2">
      <c r="A22" s="29"/>
      <c r="B22" s="29"/>
      <c r="C22" s="30"/>
      <c r="D22" s="26"/>
      <c r="F22" s="31"/>
      <c r="G22" s="31"/>
      <c r="H22" s="31"/>
      <c r="I22" s="26"/>
    </row>
    <row r="23" spans="1:9" s="24" customFormat="1" x14ac:dyDescent="0.2">
      <c r="A23" s="32" t="s">
        <v>13</v>
      </c>
      <c r="B23" s="25"/>
      <c r="C23" s="27"/>
      <c r="D23" s="26"/>
      <c r="F23" s="31"/>
      <c r="G23" s="31"/>
      <c r="H23" s="31"/>
      <c r="I23" s="26"/>
    </row>
    <row r="24" spans="1:9" s="24" customFormat="1" x14ac:dyDescent="0.2">
      <c r="A24" s="20" t="s">
        <v>267</v>
      </c>
      <c r="B24" s="20" t="s">
        <v>404</v>
      </c>
      <c r="C24" s="55">
        <v>33.4</v>
      </c>
      <c r="D24" s="26"/>
      <c r="F24" s="31"/>
      <c r="G24" s="31"/>
      <c r="H24" s="31"/>
      <c r="I24" s="26"/>
    </row>
    <row r="25" spans="1:9" s="24" customFormat="1" x14ac:dyDescent="0.2">
      <c r="A25" s="20" t="s">
        <v>596</v>
      </c>
      <c r="B25" s="20" t="s">
        <v>562</v>
      </c>
      <c r="C25" s="21">
        <v>68</v>
      </c>
      <c r="D25" s="26"/>
      <c r="F25" s="31"/>
      <c r="G25" s="31"/>
      <c r="H25" s="31"/>
      <c r="I25" s="26"/>
    </row>
    <row r="26" spans="1:9" s="24" customFormat="1" x14ac:dyDescent="0.2">
      <c r="A26" s="25"/>
      <c r="B26" s="25"/>
      <c r="C26" s="27"/>
      <c r="D26" s="26"/>
      <c r="F26" s="31"/>
      <c r="G26" s="31"/>
      <c r="H26" s="31"/>
      <c r="I26" s="26"/>
    </row>
    <row r="27" spans="1:9" s="24" customFormat="1" x14ac:dyDescent="0.2">
      <c r="A27" s="20" t="s">
        <v>79</v>
      </c>
      <c r="B27" s="20" t="s">
        <v>390</v>
      </c>
      <c r="C27" s="21">
        <v>227</v>
      </c>
      <c r="D27" s="26"/>
      <c r="F27" s="31"/>
      <c r="G27" s="31"/>
      <c r="H27" s="31"/>
      <c r="I27" s="26"/>
    </row>
    <row r="28" spans="1:9" s="24" customFormat="1" x14ac:dyDescent="0.2">
      <c r="A28" s="20" t="s">
        <v>302</v>
      </c>
      <c r="B28" s="20" t="s">
        <v>388</v>
      </c>
      <c r="C28" s="21">
        <v>236</v>
      </c>
      <c r="D28" s="26"/>
      <c r="F28" s="31"/>
      <c r="G28" s="31"/>
      <c r="H28" s="31"/>
      <c r="I28" s="26"/>
    </row>
    <row r="29" spans="1:9" s="24" customFormat="1" x14ac:dyDescent="0.2">
      <c r="A29" s="20" t="s">
        <v>60</v>
      </c>
      <c r="B29" s="20" t="s">
        <v>395</v>
      </c>
      <c r="C29" s="21">
        <v>227.04</v>
      </c>
      <c r="D29" s="26"/>
      <c r="F29" s="31"/>
      <c r="G29" s="31"/>
      <c r="H29" s="31"/>
      <c r="I29" s="26"/>
    </row>
    <row r="30" spans="1:9" s="24" customFormat="1" x14ac:dyDescent="0.2">
      <c r="A30" s="14"/>
      <c r="B30" s="14"/>
      <c r="C30" s="14"/>
      <c r="D30" s="26"/>
      <c r="F30" s="31"/>
      <c r="G30" s="31"/>
      <c r="H30" s="31"/>
      <c r="I30" s="26"/>
    </row>
    <row r="31" spans="1:9" s="24" customFormat="1" x14ac:dyDescent="0.2">
      <c r="A31"/>
      <c r="B31"/>
      <c r="C31"/>
      <c r="D31" s="26"/>
      <c r="F31" s="31"/>
      <c r="G31" s="31"/>
      <c r="H31" s="31"/>
      <c r="I31" s="26"/>
    </row>
    <row r="32" spans="1:9" s="24" customFormat="1" x14ac:dyDescent="0.2">
      <c r="A32"/>
      <c r="B32" s="26"/>
      <c r="C32"/>
      <c r="D32" s="26"/>
      <c r="F32" s="31"/>
      <c r="G32" s="31"/>
      <c r="H32" s="31"/>
      <c r="I32" s="26"/>
    </row>
    <row r="33" spans="1:9" s="24" customFormat="1" x14ac:dyDescent="0.2">
      <c r="C33"/>
      <c r="D33" s="26"/>
      <c r="F33" s="31"/>
      <c r="G33" s="31"/>
      <c r="H33" s="31"/>
      <c r="I33" s="26"/>
    </row>
    <row r="34" spans="1:9" s="24" customFormat="1" x14ac:dyDescent="0.2">
      <c r="A34" s="26"/>
      <c r="B34" s="26"/>
      <c r="C34" s="26"/>
      <c r="D34" s="26"/>
      <c r="F34" s="26"/>
      <c r="G34" s="26"/>
      <c r="H34" s="26"/>
      <c r="I34" s="26"/>
    </row>
    <row r="35" spans="1:9" s="24" customFormat="1" x14ac:dyDescent="0.2">
      <c r="A35" s="26"/>
      <c r="B35" s="26"/>
      <c r="C35" s="26"/>
      <c r="D35" s="26"/>
      <c r="F35" s="68" t="s">
        <v>330</v>
      </c>
      <c r="G35" s="26"/>
      <c r="H35" s="26"/>
      <c r="I35" s="26"/>
    </row>
    <row r="36" spans="1:9" s="24" customFormat="1" x14ac:dyDescent="0.2">
      <c r="A36" s="26"/>
      <c r="B36" s="26"/>
      <c r="C36" s="26"/>
      <c r="D36" s="26"/>
      <c r="F36" s="25">
        <f>(H8+H11)/2</f>
        <v>2038.99</v>
      </c>
      <c r="G36" s="26"/>
      <c r="H36" s="26"/>
      <c r="I36" s="26"/>
    </row>
    <row r="37" spans="1:9" s="24" customFormat="1" x14ac:dyDescent="0.2">
      <c r="A37" s="26"/>
      <c r="B37" s="26"/>
      <c r="C37" s="26"/>
      <c r="D37" s="26"/>
      <c r="F37" s="26"/>
      <c r="G37" s="26"/>
      <c r="H37" s="26"/>
      <c r="I37" s="26"/>
    </row>
    <row r="38" spans="1:9" s="24" customFormat="1" x14ac:dyDescent="0.2">
      <c r="A38" s="26"/>
      <c r="B38" s="26"/>
      <c r="C38" s="26"/>
      <c r="D38" s="26"/>
      <c r="F38" s="26"/>
      <c r="G38" s="26"/>
      <c r="H38" s="26"/>
    </row>
    <row r="39" spans="1:9" s="24" customFormat="1" x14ac:dyDescent="0.2">
      <c r="A39" s="26"/>
      <c r="B39" s="26"/>
      <c r="C39" s="26"/>
      <c r="D39" s="26"/>
      <c r="F39"/>
      <c r="G39" s="26"/>
      <c r="H39" s="26"/>
    </row>
    <row r="40" spans="1:9" s="26" customFormat="1" ht="16" x14ac:dyDescent="0.2">
      <c r="A40" s="89" t="s">
        <v>566</v>
      </c>
      <c r="B40" s="88" t="s">
        <v>569</v>
      </c>
    </row>
    <row r="41" spans="1:9" s="26" customFormat="1" x14ac:dyDescent="0.2">
      <c r="A41" s="91">
        <v>43574</v>
      </c>
      <c r="B41" s="26">
        <v>5239.92</v>
      </c>
      <c r="C41"/>
      <c r="H41" s="24"/>
    </row>
    <row r="42" spans="1:9" s="26" customFormat="1" x14ac:dyDescent="0.2">
      <c r="A42" s="91">
        <v>43604</v>
      </c>
      <c r="B42" s="26">
        <v>3121.92</v>
      </c>
      <c r="C42"/>
      <c r="H42" s="24"/>
    </row>
    <row r="43" spans="1:9" s="26" customFormat="1" x14ac:dyDescent="0.2">
      <c r="A43" s="91">
        <v>43635</v>
      </c>
      <c r="B43" s="26">
        <v>1003.92</v>
      </c>
    </row>
    <row r="44" spans="1:9" s="24" customFormat="1" x14ac:dyDescent="0.2">
      <c r="A44" s="91">
        <v>43665</v>
      </c>
      <c r="B44" s="26" t="s">
        <v>585</v>
      </c>
      <c r="C44" s="26"/>
      <c r="D44" s="77"/>
      <c r="F44" s="26"/>
      <c r="G44" s="26"/>
      <c r="H44" s="26"/>
      <c r="I44" s="26"/>
    </row>
    <row r="45" spans="1:9" s="26" customFormat="1" x14ac:dyDescent="0.2"/>
    <row r="46" spans="1:9" s="26" customFormat="1" x14ac:dyDescent="0.2">
      <c r="A46" s="87" t="s">
        <v>567</v>
      </c>
      <c r="B46" s="88" t="s">
        <v>570</v>
      </c>
      <c r="H46" s="24"/>
    </row>
    <row r="47" spans="1:9" s="26" customFormat="1" x14ac:dyDescent="0.2">
      <c r="A47" s="91">
        <v>43665</v>
      </c>
      <c r="B47" s="26">
        <v>10179.68</v>
      </c>
      <c r="G47" s="24"/>
      <c r="H47" s="24"/>
    </row>
    <row r="48" spans="1:9" s="24" customFormat="1" x14ac:dyDescent="0.2">
      <c r="A48" s="91">
        <v>43696</v>
      </c>
      <c r="B48" s="26">
        <v>7650.54</v>
      </c>
      <c r="C48" s="26"/>
      <c r="D48" s="26"/>
      <c r="F48" s="26"/>
      <c r="G48" s="26"/>
      <c r="I48" s="26"/>
    </row>
    <row r="49" spans="1:9" s="24" customFormat="1" x14ac:dyDescent="0.2">
      <c r="A49" s="91">
        <v>43727</v>
      </c>
      <c r="B49" s="26">
        <v>5121.3999999999996</v>
      </c>
      <c r="C49" s="26"/>
      <c r="D49" s="26"/>
      <c r="F49" s="26"/>
      <c r="G49" s="26"/>
      <c r="H49" s="26"/>
      <c r="I49" s="26"/>
    </row>
    <row r="50" spans="1:9" s="24" customFormat="1" x14ac:dyDescent="0.2">
      <c r="A50" s="91">
        <v>43757</v>
      </c>
      <c r="B50" s="26">
        <v>2592.2600000000002</v>
      </c>
      <c r="C50" s="26"/>
      <c r="D50" s="26"/>
      <c r="F50" s="26"/>
      <c r="G50" s="26"/>
      <c r="H50" s="26"/>
      <c r="I50" s="26"/>
    </row>
    <row r="51" spans="1:9" s="26" customFormat="1" x14ac:dyDescent="0.2">
      <c r="A51" s="91">
        <v>43788</v>
      </c>
      <c r="B51" s="26">
        <v>63.12</v>
      </c>
      <c r="C51"/>
      <c r="H51"/>
    </row>
    <row r="52" spans="1:9" s="26" customFormat="1" x14ac:dyDescent="0.2">
      <c r="A52" s="91">
        <v>43818</v>
      </c>
      <c r="B52" s="26" t="s">
        <v>586</v>
      </c>
      <c r="C52"/>
      <c r="H52"/>
      <c r="I52"/>
    </row>
    <row r="53" spans="1:9" x14ac:dyDescent="0.2">
      <c r="A53" s="91"/>
      <c r="B53" s="26"/>
      <c r="F53" s="26"/>
      <c r="G53" s="26"/>
      <c r="H53" s="26"/>
    </row>
    <row r="54" spans="1:9" x14ac:dyDescent="0.2">
      <c r="A54" s="91"/>
      <c r="G54" s="26"/>
      <c r="H54" s="26"/>
    </row>
    <row r="55" spans="1:9" s="26" customFormat="1" x14ac:dyDescent="0.2">
      <c r="C55"/>
      <c r="F55"/>
      <c r="H55"/>
      <c r="I55"/>
    </row>
    <row r="56" spans="1:9" s="26" customFormat="1" x14ac:dyDescent="0.2">
      <c r="C56"/>
      <c r="G56"/>
      <c r="H56"/>
      <c r="I56"/>
    </row>
    <row r="57" spans="1:9" x14ac:dyDescent="0.2">
      <c r="A57" s="26" t="s">
        <v>573</v>
      </c>
      <c r="B57" s="26" t="s">
        <v>579</v>
      </c>
      <c r="F57" s="26"/>
    </row>
    <row r="58" spans="1:9" x14ac:dyDescent="0.2">
      <c r="A58" s="91">
        <v>43831</v>
      </c>
      <c r="B58" s="26">
        <v>8489.42</v>
      </c>
    </row>
    <row r="59" spans="1:9" x14ac:dyDescent="0.2">
      <c r="A59" s="91">
        <v>43862</v>
      </c>
      <c r="B59">
        <v>5583.61</v>
      </c>
    </row>
    <row r="60" spans="1:9" x14ac:dyDescent="0.2">
      <c r="A60" s="91">
        <v>43891</v>
      </c>
      <c r="B60" s="26">
        <v>2677.8</v>
      </c>
    </row>
    <row r="61" spans="1:9" x14ac:dyDescent="0.2">
      <c r="A61" s="91">
        <v>43922</v>
      </c>
      <c r="B61" s="26" t="s">
        <v>587</v>
      </c>
    </row>
    <row r="63" spans="1:9" x14ac:dyDescent="0.2">
      <c r="A63" t="s">
        <v>574</v>
      </c>
      <c r="B63" t="s">
        <v>576</v>
      </c>
    </row>
    <row r="64" spans="1:9" x14ac:dyDescent="0.2">
      <c r="A64" s="91">
        <v>43952</v>
      </c>
      <c r="B64">
        <v>54737.38</v>
      </c>
    </row>
    <row r="65" spans="1:2" x14ac:dyDescent="0.2">
      <c r="A65" s="91">
        <v>43983</v>
      </c>
      <c r="B65">
        <v>51289.55</v>
      </c>
    </row>
    <row r="66" spans="1:2" x14ac:dyDescent="0.2">
      <c r="A66" s="91">
        <v>44013</v>
      </c>
      <c r="B66">
        <v>47841.72</v>
      </c>
    </row>
    <row r="67" spans="1:2" x14ac:dyDescent="0.2">
      <c r="A67" s="91">
        <v>44044</v>
      </c>
      <c r="B67">
        <v>44393.89</v>
      </c>
    </row>
    <row r="68" spans="1:2" x14ac:dyDescent="0.2">
      <c r="A68" s="91">
        <v>44075</v>
      </c>
      <c r="B68">
        <v>40946.06</v>
      </c>
    </row>
    <row r="69" spans="1:2" x14ac:dyDescent="0.2">
      <c r="A69" s="91">
        <v>44105</v>
      </c>
      <c r="B69">
        <v>37498.230000000003</v>
      </c>
    </row>
    <row r="70" spans="1:2" x14ac:dyDescent="0.2">
      <c r="A70" s="91">
        <v>44136</v>
      </c>
      <c r="B70">
        <f>B69-'January 2019'!G38</f>
        <v>37498.230000000003</v>
      </c>
    </row>
    <row r="71" spans="1:2" x14ac:dyDescent="0.2">
      <c r="A71" s="91">
        <v>44166</v>
      </c>
      <c r="B71">
        <v>30602.57</v>
      </c>
    </row>
    <row r="72" spans="1:2" x14ac:dyDescent="0.2">
      <c r="A72" s="91">
        <v>44197</v>
      </c>
      <c r="B72">
        <v>27154.74</v>
      </c>
    </row>
    <row r="73" spans="1:2" x14ac:dyDescent="0.2">
      <c r="A73" s="91">
        <v>44228</v>
      </c>
      <c r="B73">
        <v>23706.91</v>
      </c>
    </row>
    <row r="74" spans="1:2" x14ac:dyDescent="0.2">
      <c r="A74" s="91">
        <v>44256</v>
      </c>
      <c r="B74">
        <v>20259.080000000002</v>
      </c>
    </row>
    <row r="75" spans="1:2" x14ac:dyDescent="0.2">
      <c r="A75" s="91">
        <v>44287</v>
      </c>
      <c r="B75">
        <v>16811.25</v>
      </c>
    </row>
    <row r="76" spans="1:2" x14ac:dyDescent="0.2">
      <c r="A76" s="91">
        <v>44317</v>
      </c>
      <c r="B76">
        <v>13363.42</v>
      </c>
    </row>
    <row r="77" spans="1:2" x14ac:dyDescent="0.2">
      <c r="A77" s="91">
        <v>44348</v>
      </c>
      <c r="B77">
        <v>9915.59</v>
      </c>
    </row>
    <row r="78" spans="1:2" x14ac:dyDescent="0.2">
      <c r="A78" s="91">
        <v>44378</v>
      </c>
      <c r="B78">
        <v>6467.76</v>
      </c>
    </row>
    <row r="79" spans="1:2" x14ac:dyDescent="0.2">
      <c r="A79" s="91">
        <v>44409</v>
      </c>
      <c r="B79">
        <v>3019.93</v>
      </c>
    </row>
    <row r="80" spans="1:2" x14ac:dyDescent="0.2">
      <c r="A80" s="91">
        <v>44440</v>
      </c>
      <c r="B80" t="s">
        <v>588</v>
      </c>
    </row>
  </sheetData>
  <dataValidations count="1">
    <dataValidation type="list" allowBlank="1" showInputMessage="1" showErrorMessage="1" sqref="C34:C40 C43:C50" xr:uid="{00000000-0002-0000-0800-000000000000}">
      <formula1>#REF!</formula1>
    </dataValidation>
  </dataValidation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0"/>
  <sheetViews>
    <sheetView workbookViewId="0">
      <selection activeCell="A13" sqref="A13:C13"/>
    </sheetView>
  </sheetViews>
  <sheetFormatPr baseColWidth="10" defaultColWidth="8.83203125" defaultRowHeight="15" x14ac:dyDescent="0.2"/>
  <cols>
    <col min="1" max="1" width="55.33203125" bestFit="1" customWidth="1"/>
    <col min="2" max="2" width="19.1640625" bestFit="1" customWidth="1"/>
    <col min="3" max="3" width="20.5" bestFit="1" customWidth="1"/>
    <col min="4" max="4" width="16.5" bestFit="1" customWidth="1"/>
    <col min="5" max="5" width="10.6640625" customWidth="1"/>
    <col min="6" max="6" width="30.6640625" bestFit="1" customWidth="1"/>
    <col min="7" max="7" width="29.6640625" bestFit="1" customWidth="1"/>
    <col min="8" max="8" width="15.33203125" bestFit="1" customWidth="1"/>
    <col min="9" max="9" width="28.83203125" bestFit="1" customWidth="1"/>
    <col min="10" max="11" width="6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592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3277.24</v>
      </c>
      <c r="C3" s="51">
        <v>3277.24</v>
      </c>
      <c r="H3" s="26"/>
    </row>
    <row r="4" spans="1:11" x14ac:dyDescent="0.2">
      <c r="A4" s="26" t="s">
        <v>265</v>
      </c>
      <c r="B4">
        <v>1276.0899999999999</v>
      </c>
      <c r="C4">
        <v>1276.0899999999999</v>
      </c>
      <c r="H4" s="26"/>
      <c r="J4" s="99"/>
      <c r="K4" s="40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  <c r="K6" s="46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  <c r="J7" s="46"/>
    </row>
    <row r="8" spans="1:11" s="26" customFormat="1" x14ac:dyDescent="0.2">
      <c r="A8" s="32" t="s">
        <v>12</v>
      </c>
      <c r="B8" s="25"/>
      <c r="C8" s="32"/>
      <c r="F8" s="33">
        <f>B3+B4</f>
        <v>4553.33</v>
      </c>
      <c r="G8" s="27">
        <f>C9+C10+C11+C12+C13+C14+C15+C16+C17+C18+C19+C20</f>
        <v>4187.6399999999994</v>
      </c>
      <c r="H8" s="27">
        <f>F8-G8</f>
        <v>365.69000000000051</v>
      </c>
      <c r="K8" s="46"/>
    </row>
    <row r="9" spans="1:11" s="24" customFormat="1" x14ac:dyDescent="0.2">
      <c r="A9" s="20" t="s">
        <v>293</v>
      </c>
      <c r="B9" s="20" t="s">
        <v>389</v>
      </c>
      <c r="C9" s="20">
        <v>1578.38</v>
      </c>
      <c r="D9" s="26"/>
      <c r="F9" s="31"/>
      <c r="G9" s="31"/>
      <c r="H9" s="67"/>
      <c r="I9" s="26"/>
      <c r="J9" s="45"/>
    </row>
    <row r="10" spans="1:11" s="24" customFormat="1" x14ac:dyDescent="0.2">
      <c r="A10" s="20" t="s">
        <v>316</v>
      </c>
      <c r="B10" s="20" t="s">
        <v>403</v>
      </c>
      <c r="C10" s="21">
        <v>570.91999999999996</v>
      </c>
      <c r="D10" s="26"/>
      <c r="F10" s="68" t="s">
        <v>325</v>
      </c>
      <c r="G10" s="68" t="s">
        <v>326</v>
      </c>
      <c r="H10" s="68" t="s">
        <v>322</v>
      </c>
      <c r="I10" s="26"/>
      <c r="K10" s="45"/>
    </row>
    <row r="11" spans="1:11" s="24" customFormat="1" x14ac:dyDescent="0.2">
      <c r="A11" s="20" t="s">
        <v>311</v>
      </c>
      <c r="B11" s="20" t="s">
        <v>394</v>
      </c>
      <c r="C11" s="21">
        <v>32.1</v>
      </c>
      <c r="D11" s="26"/>
      <c r="F11" s="33">
        <f>B3+B4</f>
        <v>4553.33</v>
      </c>
      <c r="G11" s="27">
        <f>C23+C24+C25+C26+C27+C28+C29</f>
        <v>887.43999999999994</v>
      </c>
      <c r="H11" s="27">
        <f>F11-G11</f>
        <v>3665.89</v>
      </c>
      <c r="I11" s="26"/>
      <c r="K11" s="45"/>
    </row>
    <row r="12" spans="1:11" s="24" customFormat="1" x14ac:dyDescent="0.2">
      <c r="A12" s="20" t="s">
        <v>536</v>
      </c>
      <c r="B12" s="20" t="s">
        <v>402</v>
      </c>
      <c r="C12" s="21">
        <v>411.14</v>
      </c>
      <c r="D12" s="26"/>
      <c r="F12" s="31"/>
      <c r="G12" s="31"/>
      <c r="H12" s="31"/>
      <c r="I12" s="26"/>
      <c r="J12" s="51"/>
    </row>
    <row r="13" spans="1:11" s="24" customFormat="1" x14ac:dyDescent="0.2">
      <c r="A13" s="20" t="s">
        <v>517</v>
      </c>
      <c r="B13" s="20" t="s">
        <v>403</v>
      </c>
      <c r="C13" s="21">
        <v>150</v>
      </c>
      <c r="D13" s="26"/>
      <c r="F13" s="31"/>
      <c r="G13" s="31"/>
      <c r="H13" s="31"/>
      <c r="I13" s="26"/>
      <c r="J13" s="66"/>
      <c r="K13" s="45"/>
    </row>
    <row r="14" spans="1:11" s="24" customFormat="1" x14ac:dyDescent="0.2">
      <c r="A14" s="20" t="s">
        <v>76</v>
      </c>
      <c r="B14" s="20" t="s">
        <v>402</v>
      </c>
      <c r="C14" s="21">
        <v>14.99</v>
      </c>
      <c r="D14" s="90"/>
      <c r="F14" s="31"/>
      <c r="G14" s="31"/>
      <c r="H14" s="31"/>
      <c r="I14" s="26"/>
      <c r="J14" s="26"/>
      <c r="K14" s="26"/>
    </row>
    <row r="15" spans="1:11" s="24" customFormat="1" x14ac:dyDescent="0.2">
      <c r="A15" s="20" t="s">
        <v>521</v>
      </c>
      <c r="B15" s="20" t="s">
        <v>518</v>
      </c>
      <c r="C15" s="21">
        <v>542.02</v>
      </c>
      <c r="D15" s="26"/>
      <c r="F15" s="31"/>
      <c r="G15" s="31"/>
      <c r="H15" s="31"/>
      <c r="I15" s="26"/>
      <c r="J15" s="26"/>
      <c r="K15" s="26"/>
    </row>
    <row r="16" spans="1:11" s="24" customFormat="1" x14ac:dyDescent="0.2">
      <c r="A16" s="20" t="s">
        <v>582</v>
      </c>
      <c r="B16" s="20" t="s">
        <v>401</v>
      </c>
      <c r="C16" s="21">
        <v>100</v>
      </c>
      <c r="D16" s="26"/>
      <c r="F16" s="31"/>
      <c r="G16" s="31"/>
      <c r="H16" s="31"/>
      <c r="J16" s="41"/>
    </row>
    <row r="17" spans="1:9" s="24" customFormat="1" x14ac:dyDescent="0.2">
      <c r="A17" s="20" t="s">
        <v>471</v>
      </c>
      <c r="B17" s="20" t="s">
        <v>401</v>
      </c>
      <c r="C17" s="21">
        <v>153.66</v>
      </c>
      <c r="D17" s="26"/>
      <c r="F17" s="31"/>
      <c r="G17" s="31"/>
      <c r="H17" s="31"/>
    </row>
    <row r="18" spans="1:9" s="24" customFormat="1" x14ac:dyDescent="0.2">
      <c r="A18" s="20" t="s">
        <v>526</v>
      </c>
      <c r="B18" s="20" t="s">
        <v>391</v>
      </c>
      <c r="C18" s="55">
        <v>111.81</v>
      </c>
      <c r="D18" s="26"/>
      <c r="F18" s="31"/>
      <c r="G18" s="31"/>
      <c r="H18" s="31"/>
    </row>
    <row r="19" spans="1:9" s="24" customFormat="1" x14ac:dyDescent="0.2">
      <c r="A19" s="20" t="s">
        <v>520</v>
      </c>
      <c r="B19" s="20" t="s">
        <v>400</v>
      </c>
      <c r="C19" s="21">
        <v>299.61</v>
      </c>
      <c r="D19" s="26"/>
      <c r="F19" s="31"/>
      <c r="G19" s="31"/>
      <c r="H19" s="31"/>
    </row>
    <row r="20" spans="1:9" s="24" customFormat="1" x14ac:dyDescent="0.2">
      <c r="A20" s="20" t="s">
        <v>470</v>
      </c>
      <c r="B20" s="20" t="s">
        <v>400</v>
      </c>
      <c r="C20" s="21">
        <v>223.01</v>
      </c>
      <c r="F20" s="31"/>
      <c r="G20" s="31"/>
      <c r="H20" s="31"/>
    </row>
    <row r="21" spans="1:9" s="24" customFormat="1" x14ac:dyDescent="0.2">
      <c r="A21" s="29"/>
      <c r="B21" s="29"/>
      <c r="C21" s="30"/>
      <c r="D21" s="26"/>
      <c r="F21" s="31"/>
      <c r="G21" s="31"/>
      <c r="H21" s="31"/>
      <c r="I21" s="26"/>
    </row>
    <row r="22" spans="1:9" s="24" customFormat="1" x14ac:dyDescent="0.2">
      <c r="A22" s="32" t="s">
        <v>13</v>
      </c>
      <c r="B22" s="25"/>
      <c r="C22" s="27"/>
      <c r="D22" s="26"/>
      <c r="F22" s="31"/>
      <c r="G22" s="31"/>
      <c r="H22" s="31"/>
      <c r="I22" s="26"/>
    </row>
    <row r="23" spans="1:9" s="24" customFormat="1" x14ac:dyDescent="0.2">
      <c r="A23" s="20" t="s">
        <v>267</v>
      </c>
      <c r="B23" s="20" t="s">
        <v>404</v>
      </c>
      <c r="C23" s="55">
        <v>33.4</v>
      </c>
      <c r="D23" s="26"/>
      <c r="F23" s="31"/>
      <c r="G23" s="31"/>
      <c r="H23" s="31"/>
      <c r="I23" s="26"/>
    </row>
    <row r="24" spans="1:9" s="24" customFormat="1" x14ac:dyDescent="0.2">
      <c r="A24" s="25"/>
      <c r="B24" s="25"/>
      <c r="C24" s="27"/>
      <c r="D24" s="26"/>
      <c r="F24" s="31"/>
      <c r="G24" s="31"/>
      <c r="H24" s="31"/>
      <c r="I24" s="26"/>
    </row>
    <row r="25" spans="1:9" s="24" customFormat="1" x14ac:dyDescent="0.2">
      <c r="A25" s="20" t="s">
        <v>561</v>
      </c>
      <c r="B25" s="20" t="s">
        <v>562</v>
      </c>
      <c r="C25" s="21">
        <v>68</v>
      </c>
      <c r="D25" s="26"/>
      <c r="F25" s="31"/>
      <c r="G25" s="31"/>
      <c r="H25" s="31"/>
      <c r="I25" s="26"/>
    </row>
    <row r="26" spans="1:9" s="24" customFormat="1" x14ac:dyDescent="0.2">
      <c r="A26" s="20" t="s">
        <v>581</v>
      </c>
      <c r="B26" s="20" t="s">
        <v>562</v>
      </c>
      <c r="C26" s="21">
        <v>100</v>
      </c>
      <c r="D26" s="26"/>
      <c r="F26" s="31"/>
      <c r="G26" s="31"/>
      <c r="H26" s="31"/>
      <c r="I26" s="26"/>
    </row>
    <row r="27" spans="1:9" s="24" customFormat="1" x14ac:dyDescent="0.2">
      <c r="A27" s="20" t="s">
        <v>79</v>
      </c>
      <c r="B27" s="20" t="s">
        <v>390</v>
      </c>
      <c r="C27" s="21">
        <v>227</v>
      </c>
      <c r="D27" s="26"/>
      <c r="F27" s="31"/>
      <c r="G27" s="31"/>
      <c r="H27" s="31"/>
      <c r="I27" s="26"/>
    </row>
    <row r="28" spans="1:9" s="24" customFormat="1" x14ac:dyDescent="0.2">
      <c r="A28" s="20" t="s">
        <v>302</v>
      </c>
      <c r="B28" s="20" t="s">
        <v>388</v>
      </c>
      <c r="C28" s="21">
        <v>232</v>
      </c>
      <c r="D28" s="26"/>
      <c r="F28" s="31"/>
      <c r="G28" s="31"/>
      <c r="H28" s="31"/>
      <c r="I28" s="26"/>
    </row>
    <row r="29" spans="1:9" s="24" customFormat="1" x14ac:dyDescent="0.2">
      <c r="A29" s="20" t="s">
        <v>60</v>
      </c>
      <c r="B29" s="20" t="s">
        <v>395</v>
      </c>
      <c r="C29" s="21">
        <v>227.04</v>
      </c>
      <c r="D29" s="26"/>
      <c r="F29" s="31"/>
      <c r="G29" s="31"/>
      <c r="H29" s="31"/>
      <c r="I29" s="26"/>
    </row>
    <row r="30" spans="1:9" s="24" customFormat="1" x14ac:dyDescent="0.2">
      <c r="A30" s="14"/>
      <c r="B30" s="14"/>
      <c r="C30" s="14"/>
      <c r="D30" s="26"/>
      <c r="F30" s="31"/>
      <c r="G30" s="31"/>
      <c r="H30" s="31"/>
      <c r="I30" s="26"/>
    </row>
    <row r="31" spans="1:9" s="24" customFormat="1" x14ac:dyDescent="0.2">
      <c r="A31"/>
      <c r="B31"/>
      <c r="C31"/>
      <c r="D31" s="26"/>
      <c r="F31" s="31"/>
      <c r="G31" s="31"/>
      <c r="H31" s="31"/>
      <c r="I31" s="26"/>
    </row>
    <row r="32" spans="1:9" s="24" customFormat="1" x14ac:dyDescent="0.2">
      <c r="A32"/>
      <c r="B32" s="26"/>
      <c r="C32"/>
      <c r="D32" s="26"/>
      <c r="F32" s="31"/>
      <c r="G32" s="31"/>
      <c r="H32" s="31"/>
      <c r="I32" s="26"/>
    </row>
    <row r="33" spans="1:9" s="24" customFormat="1" x14ac:dyDescent="0.2">
      <c r="C33"/>
      <c r="D33" s="26"/>
      <c r="F33" s="31"/>
      <c r="G33" s="31"/>
      <c r="H33" s="31"/>
      <c r="I33" s="26"/>
    </row>
    <row r="34" spans="1:9" s="24" customFormat="1" ht="16" thickBot="1" x14ac:dyDescent="0.25">
      <c r="A34" s="92" t="s">
        <v>565</v>
      </c>
      <c r="B34" s="93" t="s">
        <v>568</v>
      </c>
      <c r="C34" s="26"/>
      <c r="D34" s="26"/>
      <c r="F34" s="26"/>
      <c r="G34" s="26"/>
      <c r="H34" s="26"/>
      <c r="I34" s="26"/>
    </row>
    <row r="35" spans="1:9" s="24" customFormat="1" ht="16" thickTop="1" x14ac:dyDescent="0.2">
      <c r="A35" s="97">
        <v>43469</v>
      </c>
      <c r="B35" s="98">
        <v>6471.16</v>
      </c>
      <c r="C35" s="26"/>
      <c r="D35" s="26"/>
      <c r="F35" s="68" t="s">
        <v>330</v>
      </c>
      <c r="G35" s="26"/>
      <c r="H35" s="26"/>
      <c r="I35" s="26"/>
    </row>
    <row r="36" spans="1:9" s="24" customFormat="1" x14ac:dyDescent="0.2">
      <c r="A36" s="96">
        <v>43515</v>
      </c>
      <c r="B36" s="94">
        <v>4421.16</v>
      </c>
      <c r="C36" s="26"/>
      <c r="D36" s="26"/>
      <c r="F36" s="25">
        <f>(H8+H11)/2</f>
        <v>2015.7900000000002</v>
      </c>
      <c r="G36" s="26"/>
      <c r="H36" s="26"/>
      <c r="I36" s="26"/>
    </row>
    <row r="37" spans="1:9" s="24" customFormat="1" x14ac:dyDescent="0.2">
      <c r="A37" s="96">
        <v>43543</v>
      </c>
      <c r="B37" s="95">
        <v>2371.16</v>
      </c>
      <c r="C37" s="26"/>
      <c r="D37" s="26"/>
      <c r="F37" s="26"/>
      <c r="G37" s="26"/>
      <c r="H37" s="26"/>
      <c r="I37" s="26"/>
    </row>
    <row r="38" spans="1:9" s="24" customFormat="1" x14ac:dyDescent="0.2">
      <c r="A38" s="96">
        <v>43574</v>
      </c>
      <c r="B38" s="94">
        <v>321.16000000000003</v>
      </c>
      <c r="C38" s="26"/>
      <c r="D38" s="26"/>
      <c r="F38" s="26"/>
      <c r="G38" s="26"/>
      <c r="H38" s="26"/>
    </row>
    <row r="39" spans="1:9" s="24" customFormat="1" x14ac:dyDescent="0.2">
      <c r="A39" s="26"/>
      <c r="B39" s="26"/>
      <c r="C39" s="26"/>
      <c r="D39" s="26"/>
      <c r="F39"/>
      <c r="G39" s="26"/>
      <c r="H39" s="26"/>
    </row>
    <row r="40" spans="1:9" s="26" customFormat="1" ht="16" x14ac:dyDescent="0.2">
      <c r="A40" s="89" t="s">
        <v>566</v>
      </c>
      <c r="B40" s="88" t="s">
        <v>569</v>
      </c>
    </row>
    <row r="41" spans="1:9" s="26" customFormat="1" x14ac:dyDescent="0.2">
      <c r="A41" s="91">
        <v>43574</v>
      </c>
      <c r="B41" s="26">
        <v>5239.92</v>
      </c>
      <c r="C41"/>
      <c r="H41" s="24"/>
    </row>
    <row r="42" spans="1:9" s="26" customFormat="1" x14ac:dyDescent="0.2">
      <c r="A42" s="91">
        <v>43604</v>
      </c>
      <c r="B42" s="26">
        <v>3121.92</v>
      </c>
      <c r="C42"/>
      <c r="H42" s="24"/>
    </row>
    <row r="43" spans="1:9" s="26" customFormat="1" x14ac:dyDescent="0.2">
      <c r="A43" s="91">
        <v>43635</v>
      </c>
      <c r="B43" s="26">
        <v>1003.92</v>
      </c>
    </row>
    <row r="44" spans="1:9" s="24" customFormat="1" x14ac:dyDescent="0.2">
      <c r="A44" s="91">
        <v>43665</v>
      </c>
      <c r="B44" s="26" t="s">
        <v>585</v>
      </c>
      <c r="C44" s="26"/>
      <c r="D44" s="77"/>
      <c r="F44" s="26"/>
      <c r="G44" s="26"/>
      <c r="H44" s="26"/>
      <c r="I44" s="26"/>
    </row>
    <row r="45" spans="1:9" s="26" customFormat="1" x14ac:dyDescent="0.2"/>
    <row r="46" spans="1:9" s="26" customFormat="1" x14ac:dyDescent="0.2">
      <c r="A46" s="87" t="s">
        <v>567</v>
      </c>
      <c r="B46" s="88" t="s">
        <v>570</v>
      </c>
      <c r="H46" s="24"/>
    </row>
    <row r="47" spans="1:9" s="26" customFormat="1" x14ac:dyDescent="0.2">
      <c r="A47" s="91">
        <v>43665</v>
      </c>
      <c r="B47" s="26">
        <v>10179.68</v>
      </c>
      <c r="G47" s="24"/>
      <c r="H47" s="24"/>
    </row>
    <row r="48" spans="1:9" s="24" customFormat="1" x14ac:dyDescent="0.2">
      <c r="A48" s="91">
        <v>43696</v>
      </c>
      <c r="B48" s="26">
        <v>7650.54</v>
      </c>
      <c r="C48" s="26"/>
      <c r="D48" s="26"/>
      <c r="F48" s="26"/>
      <c r="G48" s="26"/>
      <c r="I48" s="26"/>
    </row>
    <row r="49" spans="1:9" s="24" customFormat="1" x14ac:dyDescent="0.2">
      <c r="A49" s="91">
        <v>43727</v>
      </c>
      <c r="B49" s="26">
        <v>5121.3999999999996</v>
      </c>
      <c r="C49" s="26"/>
      <c r="D49" s="26"/>
      <c r="F49" s="26"/>
      <c r="G49" s="26"/>
      <c r="H49" s="26"/>
      <c r="I49" s="26"/>
    </row>
    <row r="50" spans="1:9" s="24" customFormat="1" x14ac:dyDescent="0.2">
      <c r="A50" s="91">
        <v>43757</v>
      </c>
      <c r="B50" s="26">
        <v>2592.2600000000002</v>
      </c>
      <c r="C50" s="26"/>
      <c r="D50" s="26"/>
      <c r="F50" s="26"/>
      <c r="G50" s="26"/>
      <c r="H50" s="26"/>
      <c r="I50" s="26"/>
    </row>
    <row r="51" spans="1:9" s="26" customFormat="1" x14ac:dyDescent="0.2">
      <c r="A51" s="91">
        <v>43788</v>
      </c>
      <c r="B51" s="26">
        <v>63.12</v>
      </c>
      <c r="C51"/>
      <c r="H51"/>
    </row>
    <row r="52" spans="1:9" s="26" customFormat="1" x14ac:dyDescent="0.2">
      <c r="A52" s="91">
        <v>43818</v>
      </c>
      <c r="B52" s="26" t="s">
        <v>586</v>
      </c>
      <c r="C52"/>
      <c r="H52"/>
      <c r="I52"/>
    </row>
    <row r="53" spans="1:9" x14ac:dyDescent="0.2">
      <c r="A53" s="91"/>
      <c r="B53" s="26"/>
      <c r="F53" s="26"/>
      <c r="G53" s="26"/>
      <c r="H53" s="26"/>
    </row>
    <row r="54" spans="1:9" x14ac:dyDescent="0.2">
      <c r="A54" s="91"/>
      <c r="G54" s="26"/>
      <c r="H54" s="26"/>
    </row>
    <row r="55" spans="1:9" s="26" customFormat="1" x14ac:dyDescent="0.2">
      <c r="C55"/>
      <c r="F55"/>
      <c r="H55"/>
      <c r="I55"/>
    </row>
    <row r="56" spans="1:9" s="26" customFormat="1" x14ac:dyDescent="0.2">
      <c r="C56"/>
      <c r="G56"/>
      <c r="H56"/>
      <c r="I56"/>
    </row>
    <row r="57" spans="1:9" x14ac:dyDescent="0.2">
      <c r="A57" s="26" t="s">
        <v>573</v>
      </c>
      <c r="B57" s="26" t="s">
        <v>579</v>
      </c>
      <c r="F57" s="26"/>
    </row>
    <row r="58" spans="1:9" x14ac:dyDescent="0.2">
      <c r="A58" s="91">
        <v>43831</v>
      </c>
      <c r="B58" s="26">
        <v>8489.42</v>
      </c>
    </row>
    <row r="59" spans="1:9" x14ac:dyDescent="0.2">
      <c r="A59" s="91">
        <v>43862</v>
      </c>
      <c r="B59">
        <v>5583.61</v>
      </c>
    </row>
    <row r="60" spans="1:9" x14ac:dyDescent="0.2">
      <c r="A60" s="91">
        <v>43891</v>
      </c>
      <c r="B60" s="26">
        <v>2677.8</v>
      </c>
    </row>
    <row r="61" spans="1:9" x14ac:dyDescent="0.2">
      <c r="A61" s="91">
        <v>43922</v>
      </c>
      <c r="B61" s="26" t="s">
        <v>587</v>
      </c>
    </row>
    <row r="63" spans="1:9" x14ac:dyDescent="0.2">
      <c r="A63" t="s">
        <v>574</v>
      </c>
      <c r="B63" t="s">
        <v>576</v>
      </c>
    </row>
    <row r="64" spans="1:9" x14ac:dyDescent="0.2">
      <c r="A64" s="91">
        <v>43952</v>
      </c>
      <c r="B64">
        <v>54737.38</v>
      </c>
    </row>
    <row r="65" spans="1:2" x14ac:dyDescent="0.2">
      <c r="A65" s="91">
        <v>43983</v>
      </c>
      <c r="B65">
        <v>51289.55</v>
      </c>
    </row>
    <row r="66" spans="1:2" x14ac:dyDescent="0.2">
      <c r="A66" s="91">
        <v>44013</v>
      </c>
      <c r="B66">
        <v>47841.72</v>
      </c>
    </row>
    <row r="67" spans="1:2" x14ac:dyDescent="0.2">
      <c r="A67" s="91">
        <v>44044</v>
      </c>
      <c r="B67">
        <v>44393.89</v>
      </c>
    </row>
    <row r="68" spans="1:2" x14ac:dyDescent="0.2">
      <c r="A68" s="91">
        <v>44075</v>
      </c>
      <c r="B68">
        <v>40946.06</v>
      </c>
    </row>
    <row r="69" spans="1:2" x14ac:dyDescent="0.2">
      <c r="A69" s="91">
        <v>44105</v>
      </c>
      <c r="B69">
        <v>37498.230000000003</v>
      </c>
    </row>
    <row r="70" spans="1:2" x14ac:dyDescent="0.2">
      <c r="A70" s="91">
        <v>44136</v>
      </c>
      <c r="B70">
        <f>B69-'January 2019'!G38</f>
        <v>37498.230000000003</v>
      </c>
    </row>
    <row r="71" spans="1:2" x14ac:dyDescent="0.2">
      <c r="A71" s="91">
        <v>44166</v>
      </c>
      <c r="B71">
        <v>30602.57</v>
      </c>
    </row>
    <row r="72" spans="1:2" x14ac:dyDescent="0.2">
      <c r="A72" s="91">
        <v>44197</v>
      </c>
      <c r="B72">
        <v>27154.74</v>
      </c>
    </row>
    <row r="73" spans="1:2" x14ac:dyDescent="0.2">
      <c r="A73" s="91">
        <v>44228</v>
      </c>
      <c r="B73">
        <v>23706.91</v>
      </c>
    </row>
    <row r="74" spans="1:2" x14ac:dyDescent="0.2">
      <c r="A74" s="91">
        <v>44256</v>
      </c>
      <c r="B74">
        <v>20259.080000000002</v>
      </c>
    </row>
    <row r="75" spans="1:2" x14ac:dyDescent="0.2">
      <c r="A75" s="91">
        <v>44287</v>
      </c>
      <c r="B75">
        <v>16811.25</v>
      </c>
    </row>
    <row r="76" spans="1:2" x14ac:dyDescent="0.2">
      <c r="A76" s="91">
        <v>44317</v>
      </c>
      <c r="B76">
        <v>13363.42</v>
      </c>
    </row>
    <row r="77" spans="1:2" x14ac:dyDescent="0.2">
      <c r="A77" s="91">
        <v>44348</v>
      </c>
      <c r="B77">
        <v>9915.59</v>
      </c>
    </row>
    <row r="78" spans="1:2" x14ac:dyDescent="0.2">
      <c r="A78" s="91">
        <v>44378</v>
      </c>
      <c r="B78">
        <v>6467.76</v>
      </c>
    </row>
    <row r="79" spans="1:2" x14ac:dyDescent="0.2">
      <c r="A79" s="91">
        <v>44409</v>
      </c>
      <c r="B79">
        <v>3019.93</v>
      </c>
    </row>
    <row r="80" spans="1:2" x14ac:dyDescent="0.2">
      <c r="A80" s="91">
        <v>44440</v>
      </c>
      <c r="B80" t="s">
        <v>588</v>
      </c>
    </row>
  </sheetData>
  <dataValidations count="1">
    <dataValidation type="list" allowBlank="1" showInputMessage="1" showErrorMessage="1" sqref="C34:C40 C43:C50" xr:uid="{00000000-0002-0000-0900-000000000000}">
      <formula1>#REF!</formula1>
    </dataValidation>
  </dataValidation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8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55.33203125" bestFit="1" customWidth="1"/>
    <col min="2" max="2" width="19.1640625" bestFit="1" customWidth="1"/>
    <col min="3" max="3" width="20.5" bestFit="1" customWidth="1"/>
    <col min="4" max="4" width="16.5" bestFit="1" customWidth="1"/>
    <col min="5" max="5" width="10.6640625" customWidth="1"/>
    <col min="6" max="6" width="30.6640625" bestFit="1" customWidth="1"/>
    <col min="7" max="7" width="29.6640625" bestFit="1" customWidth="1"/>
    <col min="8" max="8" width="15.33203125" bestFit="1" customWidth="1"/>
    <col min="9" max="9" width="28.83203125" bestFit="1" customWidth="1"/>
    <col min="10" max="10" width="44.3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590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3277.24</v>
      </c>
      <c r="C3" s="51">
        <v>3277.24</v>
      </c>
      <c r="H3" s="26"/>
    </row>
    <row r="4" spans="1:11" x14ac:dyDescent="0.2">
      <c r="A4" s="26" t="s">
        <v>265</v>
      </c>
      <c r="B4">
        <v>1276.0899999999999</v>
      </c>
      <c r="C4">
        <v>1276.0899999999999</v>
      </c>
      <c r="H4" s="26"/>
      <c r="I4" t="s">
        <v>591</v>
      </c>
      <c r="J4" s="90"/>
    </row>
    <row r="5" spans="1:11" s="26" customFormat="1" x14ac:dyDescent="0.2">
      <c r="A5" s="43"/>
      <c r="B5" s="43"/>
      <c r="C5" s="43"/>
      <c r="D5"/>
      <c r="E5"/>
      <c r="I5" s="26">
        <v>958.94</v>
      </c>
    </row>
    <row r="6" spans="1:11" s="26" customFormat="1" x14ac:dyDescent="0.2">
      <c r="A6" s="43"/>
      <c r="B6" s="43"/>
      <c r="C6" s="43"/>
      <c r="D6"/>
      <c r="E6"/>
      <c r="H6" s="44"/>
      <c r="I6" s="26">
        <v>800</v>
      </c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  <c r="I7" s="26">
        <v>800</v>
      </c>
    </row>
    <row r="8" spans="1:11" s="26" customFormat="1" x14ac:dyDescent="0.2">
      <c r="A8" s="32" t="s">
        <v>12</v>
      </c>
      <c r="B8" s="25"/>
      <c r="C8" s="32"/>
      <c r="F8" s="33">
        <f>B3+B4</f>
        <v>4553.33</v>
      </c>
      <c r="G8" s="27">
        <f>C9+C10+C11+C12+C13+C14+C15+C16+C17+C18+C19+C20+C21</f>
        <v>4225.6899999999996</v>
      </c>
      <c r="H8" s="27">
        <f>F8-G8</f>
        <v>327.64000000000033</v>
      </c>
      <c r="I8" s="26">
        <v>950</v>
      </c>
    </row>
    <row r="9" spans="1:11" s="24" customFormat="1" x14ac:dyDescent="0.2">
      <c r="A9" s="20" t="s">
        <v>293</v>
      </c>
      <c r="B9" s="20" t="s">
        <v>389</v>
      </c>
      <c r="C9" s="20">
        <v>1578.38</v>
      </c>
      <c r="D9" s="26"/>
      <c r="F9" s="31"/>
      <c r="G9" s="31"/>
      <c r="H9" s="67"/>
      <c r="I9" s="26">
        <v>950</v>
      </c>
    </row>
    <row r="10" spans="1:11" s="24" customFormat="1" x14ac:dyDescent="0.2">
      <c r="A10" s="20" t="s">
        <v>525</v>
      </c>
      <c r="B10" s="20" t="s">
        <v>389</v>
      </c>
      <c r="C10" s="20">
        <v>38.049999999999997</v>
      </c>
      <c r="D10" s="26"/>
      <c r="F10" s="68" t="s">
        <v>325</v>
      </c>
      <c r="G10" s="68" t="s">
        <v>326</v>
      </c>
      <c r="H10" s="68" t="s">
        <v>322</v>
      </c>
      <c r="I10" s="26">
        <v>4945.1400000000003</v>
      </c>
    </row>
    <row r="11" spans="1:11" s="24" customFormat="1" x14ac:dyDescent="0.2">
      <c r="A11" s="20" t="s">
        <v>316</v>
      </c>
      <c r="B11" s="20" t="s">
        <v>403</v>
      </c>
      <c r="C11" s="21">
        <v>570.91999999999996</v>
      </c>
      <c r="D11" s="26"/>
      <c r="F11" s="33">
        <f>B3+B4</f>
        <v>4553.33</v>
      </c>
      <c r="G11" s="27">
        <f>C24+C25+C26+C27+C28+C29+C30</f>
        <v>958.93999999999994</v>
      </c>
      <c r="H11" s="27">
        <f>F11-G11</f>
        <v>3594.39</v>
      </c>
      <c r="I11" s="26"/>
    </row>
    <row r="12" spans="1:11" s="24" customFormat="1" x14ac:dyDescent="0.2">
      <c r="A12" s="20" t="s">
        <v>311</v>
      </c>
      <c r="B12" s="20" t="s">
        <v>394</v>
      </c>
      <c r="C12" s="21">
        <v>32.1</v>
      </c>
      <c r="D12" s="26"/>
      <c r="F12" s="31"/>
      <c r="G12" s="31"/>
      <c r="H12" s="31"/>
      <c r="I12" s="26"/>
      <c r="J12" s="51"/>
    </row>
    <row r="13" spans="1:11" s="24" customFormat="1" x14ac:dyDescent="0.2">
      <c r="A13" s="20" t="s">
        <v>536</v>
      </c>
      <c r="B13" s="20" t="s">
        <v>402</v>
      </c>
      <c r="C13" s="21">
        <v>411.14</v>
      </c>
      <c r="D13" s="26"/>
      <c r="F13" s="31"/>
      <c r="G13" s="31"/>
      <c r="H13" s="31"/>
      <c r="I13" s="26"/>
      <c r="J13"/>
    </row>
    <row r="14" spans="1:11" s="24" customFormat="1" x14ac:dyDescent="0.2">
      <c r="A14" s="20" t="s">
        <v>517</v>
      </c>
      <c r="B14" s="20" t="s">
        <v>403</v>
      </c>
      <c r="C14" s="21">
        <v>150</v>
      </c>
      <c r="D14" s="90"/>
      <c r="F14" s="31"/>
      <c r="G14" s="31"/>
      <c r="H14" s="31"/>
      <c r="I14" s="26"/>
      <c r="J14" s="26"/>
      <c r="K14" s="26"/>
    </row>
    <row r="15" spans="1:11" s="24" customFormat="1" x14ac:dyDescent="0.2">
      <c r="A15" s="20" t="s">
        <v>76</v>
      </c>
      <c r="B15" s="20" t="s">
        <v>402</v>
      </c>
      <c r="C15" s="21">
        <v>14.99</v>
      </c>
      <c r="D15" s="26"/>
      <c r="F15" s="31"/>
      <c r="G15" s="31"/>
      <c r="H15" s="31"/>
      <c r="I15" s="26"/>
      <c r="J15" s="26"/>
      <c r="K15" s="26"/>
    </row>
    <row r="16" spans="1:11" s="24" customFormat="1" x14ac:dyDescent="0.2">
      <c r="A16" s="20" t="s">
        <v>521</v>
      </c>
      <c r="B16" s="20" t="s">
        <v>518</v>
      </c>
      <c r="C16" s="21">
        <v>542.02</v>
      </c>
      <c r="D16" s="26"/>
      <c r="F16" s="31"/>
      <c r="G16" s="31"/>
      <c r="H16" s="31"/>
    </row>
    <row r="17" spans="1:9" s="24" customFormat="1" x14ac:dyDescent="0.2">
      <c r="A17" s="20" t="s">
        <v>582</v>
      </c>
      <c r="B17" s="20" t="s">
        <v>401</v>
      </c>
      <c r="C17" s="21">
        <v>100</v>
      </c>
      <c r="D17" s="26"/>
      <c r="F17" s="31"/>
      <c r="G17" s="31"/>
      <c r="H17" s="31"/>
    </row>
    <row r="18" spans="1:9" s="24" customFormat="1" x14ac:dyDescent="0.2">
      <c r="A18" s="20" t="s">
        <v>471</v>
      </c>
      <c r="B18" s="20" t="s">
        <v>401</v>
      </c>
      <c r="C18" s="21">
        <v>153.66</v>
      </c>
      <c r="D18" s="26"/>
      <c r="F18" s="31"/>
      <c r="G18" s="31"/>
      <c r="H18" s="31"/>
    </row>
    <row r="19" spans="1:9" s="24" customFormat="1" x14ac:dyDescent="0.2">
      <c r="A19" s="20" t="s">
        <v>526</v>
      </c>
      <c r="B19" s="20" t="s">
        <v>391</v>
      </c>
      <c r="C19" s="55">
        <v>111.81</v>
      </c>
      <c r="D19" s="26"/>
      <c r="F19" s="31"/>
      <c r="G19" s="31"/>
      <c r="H19" s="31"/>
    </row>
    <row r="20" spans="1:9" s="24" customFormat="1" x14ac:dyDescent="0.2">
      <c r="A20" s="20" t="s">
        <v>520</v>
      </c>
      <c r="B20" s="20" t="s">
        <v>400</v>
      </c>
      <c r="C20" s="21">
        <v>299.61</v>
      </c>
      <c r="F20" s="31"/>
      <c r="G20" s="31"/>
      <c r="H20" s="31"/>
    </row>
    <row r="21" spans="1:9" s="24" customFormat="1" x14ac:dyDescent="0.2">
      <c r="A21" s="20" t="s">
        <v>470</v>
      </c>
      <c r="B21" s="20" t="s">
        <v>400</v>
      </c>
      <c r="C21" s="21">
        <v>223.01</v>
      </c>
      <c r="D21" s="26"/>
      <c r="F21" s="31"/>
      <c r="G21" s="31"/>
      <c r="H21" s="31"/>
      <c r="I21" s="26"/>
    </row>
    <row r="22" spans="1:9" s="24" customFormat="1" x14ac:dyDescent="0.2">
      <c r="A22" s="29"/>
      <c r="B22" s="29"/>
      <c r="C22" s="30"/>
      <c r="D22" s="26"/>
      <c r="F22" s="31"/>
      <c r="G22" s="31"/>
      <c r="H22" s="31"/>
      <c r="I22" s="26"/>
    </row>
    <row r="23" spans="1:9" s="24" customFormat="1" x14ac:dyDescent="0.2">
      <c r="A23" s="32" t="s">
        <v>13</v>
      </c>
      <c r="B23" s="25"/>
      <c r="C23" s="27"/>
      <c r="D23" s="26"/>
      <c r="F23" s="31"/>
      <c r="G23" s="31"/>
      <c r="H23" s="31"/>
      <c r="I23" s="26"/>
    </row>
    <row r="24" spans="1:9" s="24" customFormat="1" x14ac:dyDescent="0.2">
      <c r="A24" s="20" t="s">
        <v>267</v>
      </c>
      <c r="B24" s="20" t="s">
        <v>404</v>
      </c>
      <c r="C24" s="55">
        <v>33.4</v>
      </c>
      <c r="D24" s="26"/>
      <c r="F24" s="31"/>
      <c r="G24" s="31"/>
      <c r="H24" s="31"/>
      <c r="I24" s="26"/>
    </row>
    <row r="25" spans="1:9" s="24" customFormat="1" x14ac:dyDescent="0.2">
      <c r="A25" s="20" t="s">
        <v>438</v>
      </c>
      <c r="B25" s="20" t="s">
        <v>405</v>
      </c>
      <c r="C25" s="21">
        <v>86.5</v>
      </c>
      <c r="D25" s="26"/>
      <c r="F25" s="31"/>
      <c r="G25" s="31"/>
      <c r="H25" s="31"/>
      <c r="I25" s="26"/>
    </row>
    <row r="26" spans="1:9" s="24" customFormat="1" x14ac:dyDescent="0.2">
      <c r="A26" s="20" t="s">
        <v>561</v>
      </c>
      <c r="B26" s="20" t="s">
        <v>562</v>
      </c>
      <c r="C26" s="21">
        <v>68</v>
      </c>
      <c r="D26" s="26"/>
      <c r="F26" s="31"/>
      <c r="G26" s="31"/>
      <c r="H26" s="31"/>
      <c r="I26" s="26"/>
    </row>
    <row r="27" spans="1:9" s="24" customFormat="1" x14ac:dyDescent="0.2">
      <c r="A27" s="20" t="s">
        <v>581</v>
      </c>
      <c r="B27" s="20" t="s">
        <v>562</v>
      </c>
      <c r="C27" s="21">
        <v>100</v>
      </c>
      <c r="D27" s="26"/>
      <c r="F27" s="31"/>
      <c r="G27" s="31"/>
      <c r="H27" s="31"/>
      <c r="I27" s="26"/>
    </row>
    <row r="28" spans="1:9" s="24" customFormat="1" x14ac:dyDescent="0.2">
      <c r="A28" s="20" t="s">
        <v>79</v>
      </c>
      <c r="B28" s="20" t="s">
        <v>390</v>
      </c>
      <c r="C28" s="21">
        <v>227</v>
      </c>
      <c r="D28" s="26"/>
      <c r="F28" s="31"/>
      <c r="G28" s="31"/>
      <c r="H28" s="31"/>
      <c r="I28" s="26"/>
    </row>
    <row r="29" spans="1:9" s="24" customFormat="1" x14ac:dyDescent="0.2">
      <c r="A29" s="20" t="s">
        <v>302</v>
      </c>
      <c r="B29" s="20" t="s">
        <v>388</v>
      </c>
      <c r="C29" s="21">
        <v>217</v>
      </c>
      <c r="D29" s="26"/>
      <c r="F29" s="31"/>
      <c r="G29" s="31"/>
      <c r="H29" s="31"/>
      <c r="I29" s="26"/>
    </row>
    <row r="30" spans="1:9" s="24" customFormat="1" x14ac:dyDescent="0.2">
      <c r="A30" s="20" t="s">
        <v>60</v>
      </c>
      <c r="B30" s="20" t="s">
        <v>395</v>
      </c>
      <c r="C30" s="21">
        <v>227.04</v>
      </c>
      <c r="D30" s="26"/>
      <c r="F30" s="31"/>
      <c r="G30" s="31"/>
      <c r="H30" s="31"/>
      <c r="I30" s="26"/>
    </row>
    <row r="31" spans="1:9" s="24" customFormat="1" x14ac:dyDescent="0.2">
      <c r="A31" s="14"/>
      <c r="B31" s="14"/>
      <c r="C31" s="14"/>
      <c r="D31" s="26"/>
      <c r="F31" s="31"/>
      <c r="G31" s="31"/>
      <c r="H31" s="31"/>
      <c r="I31" s="26"/>
    </row>
    <row r="32" spans="1:9" s="24" customFormat="1" x14ac:dyDescent="0.2">
      <c r="A32"/>
      <c r="B32"/>
      <c r="C32"/>
      <c r="D32" s="26"/>
      <c r="F32" s="31"/>
      <c r="G32" s="31"/>
      <c r="H32" s="31"/>
      <c r="I32" s="26"/>
    </row>
    <row r="33" spans="1:9" s="24" customFormat="1" x14ac:dyDescent="0.2">
      <c r="A33"/>
      <c r="B33" s="26"/>
      <c r="C33"/>
      <c r="D33" s="26"/>
      <c r="F33" s="31"/>
      <c r="G33" s="31"/>
      <c r="H33" s="31"/>
      <c r="I33" s="26"/>
    </row>
    <row r="34" spans="1:9" s="24" customFormat="1" x14ac:dyDescent="0.2">
      <c r="C34"/>
      <c r="D34" s="26"/>
      <c r="F34" s="26"/>
      <c r="G34" s="26"/>
      <c r="H34" s="26"/>
      <c r="I34" s="26"/>
    </row>
    <row r="35" spans="1:9" s="24" customFormat="1" ht="16" thickBot="1" x14ac:dyDescent="0.25">
      <c r="A35" s="92" t="s">
        <v>565</v>
      </c>
      <c r="B35" s="93" t="s">
        <v>568</v>
      </c>
      <c r="C35" s="26"/>
      <c r="D35" s="26"/>
      <c r="F35" s="68" t="s">
        <v>330</v>
      </c>
      <c r="G35" s="26"/>
      <c r="H35" s="26"/>
      <c r="I35" s="26"/>
    </row>
    <row r="36" spans="1:9" s="24" customFormat="1" ht="16" thickTop="1" x14ac:dyDescent="0.2">
      <c r="A36" s="97">
        <v>43469</v>
      </c>
      <c r="B36" s="98">
        <v>6471.16</v>
      </c>
      <c r="C36" s="26"/>
      <c r="D36" s="26"/>
      <c r="F36" s="25">
        <f>(H8+H11)/2</f>
        <v>1961.0150000000001</v>
      </c>
      <c r="G36" s="26"/>
      <c r="H36" s="26"/>
      <c r="I36" s="26"/>
    </row>
    <row r="37" spans="1:9" s="24" customFormat="1" x14ac:dyDescent="0.2">
      <c r="A37" s="96">
        <v>43515</v>
      </c>
      <c r="B37" s="94">
        <v>4421.16</v>
      </c>
      <c r="C37" s="26"/>
      <c r="D37" s="26"/>
      <c r="F37" s="26"/>
      <c r="G37" s="26"/>
      <c r="H37" s="26"/>
      <c r="I37" s="26"/>
    </row>
    <row r="38" spans="1:9" s="24" customFormat="1" x14ac:dyDescent="0.2">
      <c r="A38" s="96">
        <v>43543</v>
      </c>
      <c r="B38" s="95">
        <v>2371.16</v>
      </c>
      <c r="C38" s="26"/>
      <c r="D38" s="26"/>
      <c r="F38" s="26"/>
      <c r="G38" s="26"/>
      <c r="H38" s="26"/>
    </row>
    <row r="39" spans="1:9" s="24" customFormat="1" x14ac:dyDescent="0.2">
      <c r="A39" s="96">
        <v>43574</v>
      </c>
      <c r="B39" s="94">
        <v>321.16000000000003</v>
      </c>
      <c r="C39" s="26"/>
      <c r="D39" s="26"/>
      <c r="F39"/>
      <c r="G39" s="26"/>
      <c r="H39" s="26"/>
    </row>
    <row r="40" spans="1:9" s="26" customFormat="1" x14ac:dyDescent="0.2"/>
    <row r="41" spans="1:9" s="26" customFormat="1" ht="16" x14ac:dyDescent="0.2">
      <c r="A41" s="89" t="s">
        <v>566</v>
      </c>
      <c r="B41" s="88" t="s">
        <v>569</v>
      </c>
      <c r="H41" s="24"/>
    </row>
    <row r="42" spans="1:9" s="26" customFormat="1" x14ac:dyDescent="0.2">
      <c r="A42" s="91">
        <v>43574</v>
      </c>
      <c r="B42" s="26">
        <v>5239.92</v>
      </c>
      <c r="C42"/>
      <c r="H42" s="24"/>
    </row>
    <row r="43" spans="1:9" s="26" customFormat="1" x14ac:dyDescent="0.2">
      <c r="A43" s="91">
        <v>43604</v>
      </c>
      <c r="B43" s="26">
        <v>3121.92</v>
      </c>
      <c r="C43"/>
    </row>
    <row r="44" spans="1:9" s="24" customFormat="1" x14ac:dyDescent="0.2">
      <c r="A44" s="91">
        <v>43635</v>
      </c>
      <c r="B44" s="26">
        <v>1003.92</v>
      </c>
      <c r="C44" s="26"/>
      <c r="D44" s="77"/>
      <c r="F44" s="26"/>
      <c r="G44" s="26"/>
      <c r="H44" s="26"/>
      <c r="I44" s="26"/>
    </row>
    <row r="45" spans="1:9" s="26" customFormat="1" x14ac:dyDescent="0.2">
      <c r="A45" s="91">
        <v>43665</v>
      </c>
      <c r="B45" s="26" t="s">
        <v>585</v>
      </c>
    </row>
    <row r="46" spans="1:9" s="26" customFormat="1" x14ac:dyDescent="0.2">
      <c r="H46" s="24"/>
    </row>
    <row r="47" spans="1:9" s="26" customFormat="1" x14ac:dyDescent="0.2">
      <c r="A47" s="87" t="s">
        <v>567</v>
      </c>
      <c r="B47" s="88" t="s">
        <v>570</v>
      </c>
      <c r="G47" s="24"/>
      <c r="H47" s="24"/>
    </row>
    <row r="48" spans="1:9" s="24" customFormat="1" x14ac:dyDescent="0.2">
      <c r="A48" s="91">
        <v>43665</v>
      </c>
      <c r="B48" s="26">
        <v>10179.68</v>
      </c>
      <c r="C48" s="26"/>
      <c r="D48" s="26"/>
      <c r="F48" s="26"/>
      <c r="G48" s="26"/>
      <c r="I48" s="26"/>
    </row>
    <row r="49" spans="1:9" s="24" customFormat="1" x14ac:dyDescent="0.2">
      <c r="A49" s="91">
        <v>43696</v>
      </c>
      <c r="B49" s="26">
        <v>7650.54</v>
      </c>
      <c r="C49" s="26"/>
      <c r="D49" s="26"/>
      <c r="F49" s="26"/>
      <c r="G49" s="26"/>
      <c r="H49" s="26"/>
      <c r="I49" s="26"/>
    </row>
    <row r="50" spans="1:9" s="24" customFormat="1" x14ac:dyDescent="0.2">
      <c r="A50" s="91">
        <v>43727</v>
      </c>
      <c r="B50" s="26">
        <v>5121.3999999999996</v>
      </c>
      <c r="C50" s="26"/>
      <c r="D50" s="26"/>
      <c r="F50" s="26"/>
      <c r="G50" s="26"/>
      <c r="H50" s="26"/>
      <c r="I50" s="26"/>
    </row>
    <row r="51" spans="1:9" s="26" customFormat="1" x14ac:dyDescent="0.2">
      <c r="A51" s="91">
        <v>43757</v>
      </c>
      <c r="B51" s="26">
        <v>2592.2600000000002</v>
      </c>
      <c r="H51"/>
    </row>
    <row r="52" spans="1:9" s="26" customFormat="1" x14ac:dyDescent="0.2">
      <c r="A52" s="91">
        <v>43788</v>
      </c>
      <c r="B52" s="26">
        <v>63.12</v>
      </c>
      <c r="C52"/>
      <c r="H52"/>
      <c r="I52"/>
    </row>
    <row r="53" spans="1:9" x14ac:dyDescent="0.2">
      <c r="A53" s="91">
        <v>43818</v>
      </c>
      <c r="B53" s="26" t="s">
        <v>586</v>
      </c>
      <c r="F53" s="26"/>
      <c r="G53" s="26"/>
      <c r="H53" s="26"/>
    </row>
    <row r="54" spans="1:9" x14ac:dyDescent="0.2">
      <c r="A54" s="91"/>
      <c r="B54" s="26"/>
      <c r="G54" s="26"/>
      <c r="H54" s="26"/>
    </row>
    <row r="55" spans="1:9" s="26" customFormat="1" x14ac:dyDescent="0.2">
      <c r="A55" s="91"/>
      <c r="B55"/>
      <c r="C55"/>
      <c r="F55"/>
      <c r="H55"/>
      <c r="I55"/>
    </row>
    <row r="56" spans="1:9" s="26" customFormat="1" x14ac:dyDescent="0.2">
      <c r="C56"/>
      <c r="G56"/>
      <c r="H56"/>
      <c r="I56"/>
    </row>
    <row r="57" spans="1:9" x14ac:dyDescent="0.2">
      <c r="A57" s="26"/>
      <c r="B57" s="26"/>
      <c r="F57" s="26"/>
    </row>
    <row r="58" spans="1:9" x14ac:dyDescent="0.2">
      <c r="A58" s="26" t="s">
        <v>573</v>
      </c>
      <c r="B58" s="26" t="s">
        <v>579</v>
      </c>
    </row>
    <row r="59" spans="1:9" x14ac:dyDescent="0.2">
      <c r="A59" s="91">
        <v>43831</v>
      </c>
      <c r="B59" s="26">
        <v>8489.42</v>
      </c>
    </row>
    <row r="60" spans="1:9" x14ac:dyDescent="0.2">
      <c r="A60" s="91">
        <v>43862</v>
      </c>
      <c r="B60">
        <v>5583.61</v>
      </c>
    </row>
    <row r="61" spans="1:9" x14ac:dyDescent="0.2">
      <c r="A61" s="91">
        <v>43891</v>
      </c>
      <c r="B61" s="26">
        <v>2677.8</v>
      </c>
    </row>
    <row r="62" spans="1:9" x14ac:dyDescent="0.2">
      <c r="A62" s="91">
        <v>43922</v>
      </c>
      <c r="B62" s="26" t="s">
        <v>587</v>
      </c>
    </row>
    <row r="64" spans="1:9" x14ac:dyDescent="0.2">
      <c r="A64" t="s">
        <v>574</v>
      </c>
      <c r="B64" t="s">
        <v>576</v>
      </c>
    </row>
    <row r="65" spans="1:2" x14ac:dyDescent="0.2">
      <c r="A65" s="91">
        <v>43952</v>
      </c>
      <c r="B65">
        <v>54737.38</v>
      </c>
    </row>
    <row r="66" spans="1:2" x14ac:dyDescent="0.2">
      <c r="A66" s="91">
        <v>43983</v>
      </c>
      <c r="B66">
        <v>51289.55</v>
      </c>
    </row>
    <row r="67" spans="1:2" x14ac:dyDescent="0.2">
      <c r="A67" s="91">
        <v>44013</v>
      </c>
      <c r="B67">
        <v>47841.72</v>
      </c>
    </row>
    <row r="68" spans="1:2" x14ac:dyDescent="0.2">
      <c r="A68" s="91">
        <v>44044</v>
      </c>
      <c r="B68">
        <v>44393.89</v>
      </c>
    </row>
    <row r="69" spans="1:2" x14ac:dyDescent="0.2">
      <c r="A69" s="91">
        <v>44075</v>
      </c>
      <c r="B69">
        <v>40946.06</v>
      </c>
    </row>
    <row r="70" spans="1:2" x14ac:dyDescent="0.2">
      <c r="A70" s="91">
        <v>44105</v>
      </c>
      <c r="B70">
        <v>37498.230000000003</v>
      </c>
    </row>
    <row r="71" spans="1:2" x14ac:dyDescent="0.2">
      <c r="A71" s="91">
        <v>44136</v>
      </c>
      <c r="B71">
        <f>B70-'January 2019'!G38</f>
        <v>37498.230000000003</v>
      </c>
    </row>
    <row r="72" spans="1:2" x14ac:dyDescent="0.2">
      <c r="A72" s="91">
        <v>44166</v>
      </c>
      <c r="B72">
        <v>30602.57</v>
      </c>
    </row>
    <row r="73" spans="1:2" x14ac:dyDescent="0.2">
      <c r="A73" s="91">
        <v>44197</v>
      </c>
      <c r="B73">
        <v>27154.74</v>
      </c>
    </row>
    <row r="74" spans="1:2" x14ac:dyDescent="0.2">
      <c r="A74" s="91">
        <v>44228</v>
      </c>
      <c r="B74">
        <v>23706.91</v>
      </c>
    </row>
    <row r="75" spans="1:2" x14ac:dyDescent="0.2">
      <c r="A75" s="91">
        <v>44256</v>
      </c>
      <c r="B75">
        <v>20259.080000000002</v>
      </c>
    </row>
    <row r="76" spans="1:2" x14ac:dyDescent="0.2">
      <c r="A76" s="91">
        <v>44287</v>
      </c>
      <c r="B76">
        <v>16811.25</v>
      </c>
    </row>
    <row r="77" spans="1:2" x14ac:dyDescent="0.2">
      <c r="A77" s="91">
        <v>44317</v>
      </c>
      <c r="B77">
        <v>13363.42</v>
      </c>
    </row>
    <row r="78" spans="1:2" x14ac:dyDescent="0.2">
      <c r="A78" s="91">
        <v>44348</v>
      </c>
      <c r="B78">
        <v>9915.59</v>
      </c>
    </row>
    <row r="79" spans="1:2" x14ac:dyDescent="0.2">
      <c r="A79" s="91">
        <v>44378</v>
      </c>
      <c r="B79">
        <v>6467.76</v>
      </c>
    </row>
    <row r="80" spans="1:2" x14ac:dyDescent="0.2">
      <c r="A80" s="91">
        <v>44409</v>
      </c>
      <c r="B80">
        <v>3019.93</v>
      </c>
    </row>
    <row r="81" spans="1:2" x14ac:dyDescent="0.2">
      <c r="A81" s="91">
        <v>44440</v>
      </c>
      <c r="B81" t="s">
        <v>588</v>
      </c>
    </row>
  </sheetData>
  <dataValidations count="1">
    <dataValidation type="list" allowBlank="1" showInputMessage="1" showErrorMessage="1" sqref="C35:C41 C44:C51" xr:uid="{00000000-0002-0000-0A00-000000000000}">
      <formula1>#REF!</formula1>
    </dataValidation>
  </dataValidation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81"/>
  <sheetViews>
    <sheetView workbookViewId="0">
      <selection activeCell="A30" sqref="A30:C30"/>
    </sheetView>
  </sheetViews>
  <sheetFormatPr baseColWidth="10" defaultColWidth="8.83203125" defaultRowHeight="15" x14ac:dyDescent="0.2"/>
  <cols>
    <col min="1" max="1" width="55.33203125" bestFit="1" customWidth="1"/>
    <col min="2" max="2" width="19.1640625" bestFit="1" customWidth="1"/>
    <col min="3" max="3" width="20.5" bestFit="1" customWidth="1"/>
    <col min="4" max="4" width="16.5" bestFit="1" customWidth="1"/>
    <col min="5" max="5" width="10.6640625" customWidth="1"/>
    <col min="6" max="6" width="30.6640625" bestFit="1" customWidth="1"/>
    <col min="7" max="7" width="29.6640625" bestFit="1" customWidth="1"/>
    <col min="8" max="8" width="15.33203125" bestFit="1" customWidth="1"/>
    <col min="9" max="9" width="28.83203125" bestFit="1" customWidth="1"/>
    <col min="10" max="10" width="44.3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589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3277.24</v>
      </c>
      <c r="C3" s="51">
        <v>3277.24</v>
      </c>
      <c r="H3" s="26"/>
    </row>
    <row r="4" spans="1:11" x14ac:dyDescent="0.2">
      <c r="A4" s="26" t="s">
        <v>265</v>
      </c>
      <c r="B4">
        <v>1276.0899999999999</v>
      </c>
      <c r="C4">
        <v>1276.0899999999999</v>
      </c>
      <c r="H4" s="26"/>
      <c r="J4" s="90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4553.33</v>
      </c>
      <c r="G8" s="27">
        <f>C9+C10+C11+C12+C13+C14+C15+C16+C17+C18+C19+C20+C21</f>
        <v>4225.6899999999996</v>
      </c>
      <c r="H8" s="27">
        <f>F8-G8</f>
        <v>327.64000000000033</v>
      </c>
    </row>
    <row r="9" spans="1:11" s="24" customFormat="1" x14ac:dyDescent="0.2">
      <c r="A9" s="20" t="s">
        <v>293</v>
      </c>
      <c r="B9" s="20" t="s">
        <v>389</v>
      </c>
      <c r="C9" s="20">
        <v>1578.38</v>
      </c>
      <c r="D9" s="26"/>
      <c r="F9" s="31"/>
      <c r="G9" s="31"/>
      <c r="H9" s="67"/>
      <c r="I9" s="26"/>
    </row>
    <row r="10" spans="1:11" s="24" customFormat="1" x14ac:dyDescent="0.2">
      <c r="A10" s="20" t="s">
        <v>525</v>
      </c>
      <c r="B10" s="20" t="s">
        <v>389</v>
      </c>
      <c r="C10" s="20">
        <v>38.049999999999997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316</v>
      </c>
      <c r="B11" s="20" t="s">
        <v>403</v>
      </c>
      <c r="C11" s="21">
        <v>570.91999999999996</v>
      </c>
      <c r="D11" s="26"/>
      <c r="F11" s="33">
        <f>B3+B4</f>
        <v>4553.33</v>
      </c>
      <c r="G11" s="27">
        <f>C24+C25+C26+C27+C28+C29+C30</f>
        <v>949.93999999999994</v>
      </c>
      <c r="H11" s="27">
        <f>F11-G11</f>
        <v>3603.39</v>
      </c>
      <c r="I11" s="26"/>
    </row>
    <row r="12" spans="1:11" s="24" customFormat="1" x14ac:dyDescent="0.2">
      <c r="A12" s="20" t="s">
        <v>311</v>
      </c>
      <c r="B12" s="20" t="s">
        <v>394</v>
      </c>
      <c r="C12" s="21">
        <v>32.1</v>
      </c>
      <c r="D12" s="26"/>
      <c r="F12" s="31"/>
      <c r="G12" s="31"/>
      <c r="H12" s="31"/>
      <c r="I12" s="26"/>
      <c r="J12" s="51"/>
    </row>
    <row r="13" spans="1:11" s="24" customFormat="1" x14ac:dyDescent="0.2">
      <c r="A13" s="20" t="s">
        <v>536</v>
      </c>
      <c r="B13" s="20" t="s">
        <v>402</v>
      </c>
      <c r="C13" s="21">
        <v>411.14</v>
      </c>
      <c r="D13" s="26"/>
      <c r="F13" s="31"/>
      <c r="G13" s="31"/>
      <c r="H13" s="31"/>
      <c r="I13" s="26"/>
      <c r="J13"/>
    </row>
    <row r="14" spans="1:11" s="24" customFormat="1" x14ac:dyDescent="0.2">
      <c r="A14" s="20" t="s">
        <v>517</v>
      </c>
      <c r="B14" s="20" t="s">
        <v>403</v>
      </c>
      <c r="C14" s="21">
        <v>150</v>
      </c>
      <c r="D14" s="27"/>
      <c r="F14" s="31"/>
      <c r="G14" s="31"/>
      <c r="H14" s="31"/>
      <c r="I14" s="26"/>
      <c r="J14" s="26"/>
      <c r="K14" s="26"/>
    </row>
    <row r="15" spans="1:11" s="24" customFormat="1" x14ac:dyDescent="0.2">
      <c r="A15" s="20" t="s">
        <v>76</v>
      </c>
      <c r="B15" s="20" t="s">
        <v>402</v>
      </c>
      <c r="C15" s="21">
        <v>14.99</v>
      </c>
      <c r="D15" s="26"/>
      <c r="F15" s="31"/>
      <c r="G15" s="31"/>
      <c r="H15" s="31"/>
      <c r="I15" s="26"/>
      <c r="J15" s="26"/>
      <c r="K15" s="26"/>
    </row>
    <row r="16" spans="1:11" s="24" customFormat="1" x14ac:dyDescent="0.2">
      <c r="A16" s="20" t="s">
        <v>521</v>
      </c>
      <c r="B16" s="20" t="s">
        <v>518</v>
      </c>
      <c r="C16" s="21">
        <v>542.02</v>
      </c>
      <c r="D16" s="26"/>
      <c r="F16" s="31"/>
      <c r="G16" s="31"/>
      <c r="H16" s="31"/>
    </row>
    <row r="17" spans="1:9" s="24" customFormat="1" x14ac:dyDescent="0.2">
      <c r="A17" s="20" t="s">
        <v>582</v>
      </c>
      <c r="B17" s="20" t="s">
        <v>401</v>
      </c>
      <c r="C17" s="21">
        <v>100</v>
      </c>
      <c r="D17" s="26"/>
      <c r="F17" s="31"/>
      <c r="G17" s="31"/>
      <c r="H17" s="31"/>
    </row>
    <row r="18" spans="1:9" s="24" customFormat="1" x14ac:dyDescent="0.2">
      <c r="A18" s="20" t="s">
        <v>471</v>
      </c>
      <c r="B18" s="20" t="s">
        <v>401</v>
      </c>
      <c r="C18" s="21">
        <v>153.66</v>
      </c>
      <c r="D18" s="26"/>
      <c r="F18" s="31"/>
      <c r="G18" s="31"/>
      <c r="H18" s="31"/>
    </row>
    <row r="19" spans="1:9" s="24" customFormat="1" x14ac:dyDescent="0.2">
      <c r="A19" s="20" t="s">
        <v>526</v>
      </c>
      <c r="B19" s="20" t="s">
        <v>391</v>
      </c>
      <c r="C19" s="55">
        <v>111.81</v>
      </c>
      <c r="D19" s="26"/>
      <c r="F19" s="31"/>
      <c r="G19" s="31"/>
      <c r="H19" s="31"/>
    </row>
    <row r="20" spans="1:9" s="24" customFormat="1" x14ac:dyDescent="0.2">
      <c r="A20" s="20" t="s">
        <v>520</v>
      </c>
      <c r="B20" s="20" t="s">
        <v>400</v>
      </c>
      <c r="C20" s="21">
        <v>299.61</v>
      </c>
      <c r="F20" s="31"/>
      <c r="G20" s="31"/>
      <c r="H20" s="31"/>
    </row>
    <row r="21" spans="1:9" s="24" customFormat="1" x14ac:dyDescent="0.2">
      <c r="A21" s="20" t="s">
        <v>470</v>
      </c>
      <c r="B21" s="20" t="s">
        <v>400</v>
      </c>
      <c r="C21" s="21">
        <v>223.01</v>
      </c>
      <c r="D21" s="26"/>
      <c r="F21" s="31"/>
      <c r="G21" s="31"/>
      <c r="H21" s="31"/>
      <c r="I21" s="26"/>
    </row>
    <row r="22" spans="1:9" s="24" customFormat="1" x14ac:dyDescent="0.2">
      <c r="A22" s="29"/>
      <c r="B22" s="29"/>
      <c r="C22" s="30"/>
      <c r="D22" s="26"/>
      <c r="F22" s="31"/>
      <c r="G22" s="31"/>
      <c r="H22" s="31"/>
      <c r="I22" s="26"/>
    </row>
    <row r="23" spans="1:9" s="24" customFormat="1" x14ac:dyDescent="0.2">
      <c r="A23" s="32" t="s">
        <v>13</v>
      </c>
      <c r="B23" s="25"/>
      <c r="C23" s="27"/>
      <c r="D23" s="26"/>
      <c r="F23" s="31"/>
      <c r="G23" s="31"/>
      <c r="H23" s="31"/>
      <c r="I23" s="26"/>
    </row>
    <row r="24" spans="1:9" s="24" customFormat="1" x14ac:dyDescent="0.2">
      <c r="A24" s="20" t="s">
        <v>267</v>
      </c>
      <c r="B24" s="20" t="s">
        <v>404</v>
      </c>
      <c r="C24" s="55">
        <v>33.4</v>
      </c>
      <c r="D24" s="26"/>
      <c r="F24" s="31"/>
      <c r="G24" s="31"/>
      <c r="H24" s="31"/>
      <c r="I24" s="26"/>
    </row>
    <row r="25" spans="1:9" s="24" customFormat="1" x14ac:dyDescent="0.2">
      <c r="A25" s="20" t="s">
        <v>438</v>
      </c>
      <c r="B25" s="20" t="s">
        <v>405</v>
      </c>
      <c r="C25" s="21">
        <v>86.5</v>
      </c>
      <c r="D25" s="26"/>
      <c r="F25" s="31"/>
      <c r="G25" s="31"/>
      <c r="H25" s="31"/>
      <c r="I25" s="26"/>
    </row>
    <row r="26" spans="1:9" s="24" customFormat="1" x14ac:dyDescent="0.2">
      <c r="A26" s="20" t="s">
        <v>561</v>
      </c>
      <c r="B26" s="20" t="s">
        <v>562</v>
      </c>
      <c r="C26" s="21">
        <v>68</v>
      </c>
      <c r="D26" s="26"/>
      <c r="F26" s="31"/>
      <c r="G26" s="31"/>
      <c r="H26" s="31"/>
      <c r="I26" s="26"/>
    </row>
    <row r="27" spans="1:9" s="24" customFormat="1" x14ac:dyDescent="0.2">
      <c r="A27" s="20" t="s">
        <v>581</v>
      </c>
      <c r="B27" s="20" t="s">
        <v>562</v>
      </c>
      <c r="C27" s="21">
        <v>100</v>
      </c>
      <c r="D27" s="26"/>
      <c r="F27" s="31"/>
      <c r="G27" s="31"/>
      <c r="H27" s="31"/>
      <c r="I27" s="26"/>
    </row>
    <row r="28" spans="1:9" s="24" customFormat="1" x14ac:dyDescent="0.2">
      <c r="A28" s="20" t="s">
        <v>79</v>
      </c>
      <c r="B28" s="20" t="s">
        <v>390</v>
      </c>
      <c r="C28" s="21">
        <v>227</v>
      </c>
      <c r="D28" s="26"/>
      <c r="F28" s="31"/>
      <c r="G28" s="31"/>
      <c r="H28" s="31"/>
      <c r="I28" s="26"/>
    </row>
    <row r="29" spans="1:9" s="24" customFormat="1" x14ac:dyDescent="0.2">
      <c r="A29" s="20" t="s">
        <v>302</v>
      </c>
      <c r="B29" s="20" t="s">
        <v>388</v>
      </c>
      <c r="C29" s="21">
        <v>208</v>
      </c>
      <c r="D29" s="26"/>
      <c r="F29" s="31"/>
      <c r="G29" s="31"/>
      <c r="H29" s="31"/>
      <c r="I29" s="26"/>
    </row>
    <row r="30" spans="1:9" s="24" customFormat="1" x14ac:dyDescent="0.2">
      <c r="A30" s="20" t="s">
        <v>60</v>
      </c>
      <c r="B30" s="20" t="s">
        <v>395</v>
      </c>
      <c r="C30" s="21">
        <v>227.04</v>
      </c>
      <c r="D30" s="26"/>
      <c r="F30" s="31"/>
      <c r="G30" s="31"/>
      <c r="H30" s="31"/>
      <c r="I30" s="26"/>
    </row>
    <row r="31" spans="1:9" s="24" customFormat="1" x14ac:dyDescent="0.2">
      <c r="A31" s="14"/>
      <c r="B31" s="14"/>
      <c r="C31" s="14"/>
      <c r="D31" s="26"/>
      <c r="F31" s="31"/>
      <c r="G31" s="31"/>
      <c r="H31" s="31"/>
      <c r="I31" s="26"/>
    </row>
    <row r="32" spans="1:9" s="24" customFormat="1" x14ac:dyDescent="0.2">
      <c r="A32"/>
      <c r="B32"/>
      <c r="C32"/>
      <c r="D32" s="26"/>
      <c r="F32" s="31"/>
      <c r="G32" s="31"/>
      <c r="H32" s="31"/>
      <c r="I32" s="26"/>
    </row>
    <row r="33" spans="1:9" s="24" customFormat="1" x14ac:dyDescent="0.2">
      <c r="A33"/>
      <c r="B33" s="26"/>
      <c r="C33"/>
      <c r="D33" s="26"/>
      <c r="F33" s="31"/>
      <c r="G33" s="31"/>
      <c r="H33" s="31"/>
      <c r="I33" s="26"/>
    </row>
    <row r="34" spans="1:9" s="24" customFormat="1" x14ac:dyDescent="0.2">
      <c r="C34"/>
      <c r="D34" s="26"/>
      <c r="F34" s="26"/>
      <c r="G34" s="26"/>
      <c r="H34" s="26"/>
      <c r="I34" s="26"/>
    </row>
    <row r="35" spans="1:9" s="24" customFormat="1" ht="16" thickBot="1" x14ac:dyDescent="0.25">
      <c r="A35" s="92" t="s">
        <v>565</v>
      </c>
      <c r="B35" s="93" t="s">
        <v>568</v>
      </c>
      <c r="C35" s="26"/>
      <c r="D35" s="26"/>
      <c r="F35" s="68" t="s">
        <v>330</v>
      </c>
      <c r="G35" s="26"/>
      <c r="H35" s="26"/>
      <c r="I35" s="26"/>
    </row>
    <row r="36" spans="1:9" s="24" customFormat="1" ht="16" thickTop="1" x14ac:dyDescent="0.2">
      <c r="A36" s="97">
        <v>43469</v>
      </c>
      <c r="B36" s="98">
        <v>6471.16</v>
      </c>
      <c r="C36" s="26"/>
      <c r="D36" s="26"/>
      <c r="F36" s="25">
        <f>(H8+H11)/2</f>
        <v>1965.5150000000001</v>
      </c>
      <c r="G36" s="26"/>
      <c r="H36" s="26"/>
      <c r="I36" s="26"/>
    </row>
    <row r="37" spans="1:9" s="24" customFormat="1" x14ac:dyDescent="0.2">
      <c r="A37" s="96">
        <v>43515</v>
      </c>
      <c r="B37" s="94">
        <v>4421.16</v>
      </c>
      <c r="C37" s="26"/>
      <c r="D37" s="26"/>
      <c r="F37" s="26"/>
      <c r="G37" s="26"/>
      <c r="H37" s="26"/>
      <c r="I37" s="26"/>
    </row>
    <row r="38" spans="1:9" s="24" customFormat="1" x14ac:dyDescent="0.2">
      <c r="A38" s="96">
        <v>43543</v>
      </c>
      <c r="B38" s="95">
        <v>2371.16</v>
      </c>
      <c r="C38" s="26"/>
      <c r="D38" s="26"/>
      <c r="F38" s="26"/>
      <c r="G38" s="26"/>
      <c r="H38" s="26"/>
    </row>
    <row r="39" spans="1:9" s="24" customFormat="1" x14ac:dyDescent="0.2">
      <c r="A39" s="96">
        <v>43574</v>
      </c>
      <c r="B39" s="94">
        <v>321.16000000000003</v>
      </c>
      <c r="C39" s="26"/>
      <c r="D39" s="26"/>
      <c r="F39"/>
      <c r="G39" s="26"/>
      <c r="H39" s="26"/>
    </row>
    <row r="40" spans="1:9" s="26" customFormat="1" x14ac:dyDescent="0.2"/>
    <row r="41" spans="1:9" s="26" customFormat="1" ht="16" x14ac:dyDescent="0.2">
      <c r="A41" s="89" t="s">
        <v>566</v>
      </c>
      <c r="B41" s="88" t="s">
        <v>569</v>
      </c>
      <c r="H41" s="24"/>
    </row>
    <row r="42" spans="1:9" s="26" customFormat="1" x14ac:dyDescent="0.2">
      <c r="A42" s="91">
        <v>43574</v>
      </c>
      <c r="B42" s="26">
        <v>5239.92</v>
      </c>
      <c r="C42"/>
      <c r="H42" s="24"/>
    </row>
    <row r="43" spans="1:9" s="26" customFormat="1" x14ac:dyDescent="0.2">
      <c r="A43" s="91">
        <v>43604</v>
      </c>
      <c r="B43" s="26">
        <v>3121.92</v>
      </c>
      <c r="C43"/>
    </row>
    <row r="44" spans="1:9" s="24" customFormat="1" x14ac:dyDescent="0.2">
      <c r="A44" s="91">
        <v>43635</v>
      </c>
      <c r="B44" s="26">
        <v>1003.92</v>
      </c>
      <c r="C44" s="26"/>
      <c r="D44" s="77"/>
      <c r="F44" s="26"/>
      <c r="G44" s="26"/>
      <c r="H44" s="26"/>
      <c r="I44" s="26"/>
    </row>
    <row r="45" spans="1:9" s="26" customFormat="1" x14ac:dyDescent="0.2">
      <c r="A45" s="91">
        <v>43665</v>
      </c>
      <c r="B45" s="26" t="s">
        <v>585</v>
      </c>
    </row>
    <row r="46" spans="1:9" s="26" customFormat="1" x14ac:dyDescent="0.2">
      <c r="H46" s="24"/>
    </row>
    <row r="47" spans="1:9" s="26" customFormat="1" x14ac:dyDescent="0.2">
      <c r="A47" s="87" t="s">
        <v>567</v>
      </c>
      <c r="B47" s="88" t="s">
        <v>570</v>
      </c>
      <c r="G47" s="24"/>
      <c r="H47" s="24"/>
    </row>
    <row r="48" spans="1:9" s="24" customFormat="1" x14ac:dyDescent="0.2">
      <c r="A48" s="91">
        <v>43665</v>
      </c>
      <c r="B48" s="26">
        <v>10179.68</v>
      </c>
      <c r="C48" s="26"/>
      <c r="D48" s="26"/>
      <c r="F48" s="26"/>
      <c r="G48" s="26"/>
      <c r="I48" s="26"/>
    </row>
    <row r="49" spans="1:9" s="24" customFormat="1" x14ac:dyDescent="0.2">
      <c r="A49" s="91">
        <v>43696</v>
      </c>
      <c r="B49" s="26">
        <v>7650.54</v>
      </c>
      <c r="C49" s="26"/>
      <c r="D49" s="26"/>
      <c r="F49" s="26"/>
      <c r="G49" s="26"/>
      <c r="H49" s="26"/>
      <c r="I49" s="26"/>
    </row>
    <row r="50" spans="1:9" s="24" customFormat="1" x14ac:dyDescent="0.2">
      <c r="A50" s="91">
        <v>43727</v>
      </c>
      <c r="B50" s="26">
        <v>5121.3999999999996</v>
      </c>
      <c r="C50" s="26"/>
      <c r="D50" s="26"/>
      <c r="F50" s="26"/>
      <c r="G50" s="26"/>
      <c r="H50" s="26"/>
      <c r="I50" s="26"/>
    </row>
    <row r="51" spans="1:9" s="26" customFormat="1" x14ac:dyDescent="0.2">
      <c r="A51" s="91">
        <v>43757</v>
      </c>
      <c r="B51" s="26">
        <v>2592.2600000000002</v>
      </c>
      <c r="H51"/>
    </row>
    <row r="52" spans="1:9" s="26" customFormat="1" x14ac:dyDescent="0.2">
      <c r="A52" s="91">
        <v>43788</v>
      </c>
      <c r="B52" s="26">
        <v>63.12</v>
      </c>
      <c r="C52"/>
      <c r="H52"/>
      <c r="I52"/>
    </row>
    <row r="53" spans="1:9" x14ac:dyDescent="0.2">
      <c r="A53" s="91">
        <v>43818</v>
      </c>
      <c r="B53" s="26" t="s">
        <v>586</v>
      </c>
      <c r="F53" s="26"/>
      <c r="G53" s="26"/>
      <c r="H53" s="26"/>
    </row>
    <row r="54" spans="1:9" x14ac:dyDescent="0.2">
      <c r="A54" s="91"/>
      <c r="B54" s="26"/>
      <c r="G54" s="26"/>
      <c r="H54" s="26"/>
    </row>
    <row r="55" spans="1:9" s="26" customFormat="1" x14ac:dyDescent="0.2">
      <c r="A55" s="91"/>
      <c r="B55"/>
      <c r="C55"/>
      <c r="F55"/>
      <c r="H55"/>
      <c r="I55"/>
    </row>
    <row r="56" spans="1:9" s="26" customFormat="1" x14ac:dyDescent="0.2">
      <c r="C56"/>
      <c r="G56"/>
      <c r="H56"/>
      <c r="I56"/>
    </row>
    <row r="57" spans="1:9" x14ac:dyDescent="0.2">
      <c r="A57" s="26"/>
      <c r="B57" s="26"/>
      <c r="F57" s="26"/>
    </row>
    <row r="58" spans="1:9" x14ac:dyDescent="0.2">
      <c r="A58" s="26" t="s">
        <v>573</v>
      </c>
      <c r="B58" s="26" t="s">
        <v>579</v>
      </c>
    </row>
    <row r="59" spans="1:9" x14ac:dyDescent="0.2">
      <c r="A59" s="91">
        <v>43831</v>
      </c>
      <c r="B59" s="26">
        <v>8489.42</v>
      </c>
    </row>
    <row r="60" spans="1:9" x14ac:dyDescent="0.2">
      <c r="A60" s="91">
        <v>43862</v>
      </c>
      <c r="B60">
        <v>5583.61</v>
      </c>
    </row>
    <row r="61" spans="1:9" x14ac:dyDescent="0.2">
      <c r="A61" s="91">
        <v>43891</v>
      </c>
      <c r="B61" s="26">
        <v>2677.8</v>
      </c>
    </row>
    <row r="62" spans="1:9" x14ac:dyDescent="0.2">
      <c r="A62" s="91">
        <v>43922</v>
      </c>
      <c r="B62" s="26" t="s">
        <v>587</v>
      </c>
    </row>
    <row r="64" spans="1:9" x14ac:dyDescent="0.2">
      <c r="A64" t="s">
        <v>574</v>
      </c>
      <c r="B64" t="s">
        <v>576</v>
      </c>
    </row>
    <row r="65" spans="1:2" x14ac:dyDescent="0.2">
      <c r="A65" s="91">
        <v>43952</v>
      </c>
      <c r="B65">
        <v>54737.38</v>
      </c>
    </row>
    <row r="66" spans="1:2" x14ac:dyDescent="0.2">
      <c r="A66" s="91">
        <v>43983</v>
      </c>
      <c r="B66">
        <v>51289.55</v>
      </c>
    </row>
    <row r="67" spans="1:2" x14ac:dyDescent="0.2">
      <c r="A67" s="91">
        <v>44013</v>
      </c>
      <c r="B67">
        <v>47841.72</v>
      </c>
    </row>
    <row r="68" spans="1:2" x14ac:dyDescent="0.2">
      <c r="A68" s="91">
        <v>44044</v>
      </c>
      <c r="B68">
        <v>44393.89</v>
      </c>
    </row>
    <row r="69" spans="1:2" x14ac:dyDescent="0.2">
      <c r="A69" s="91">
        <v>44075</v>
      </c>
      <c r="B69">
        <v>40946.06</v>
      </c>
    </row>
    <row r="70" spans="1:2" x14ac:dyDescent="0.2">
      <c r="A70" s="91">
        <v>44105</v>
      </c>
      <c r="B70">
        <v>37498.230000000003</v>
      </c>
    </row>
    <row r="71" spans="1:2" x14ac:dyDescent="0.2">
      <c r="A71" s="91">
        <v>44136</v>
      </c>
      <c r="B71">
        <f>B70-'January 2019'!G38</f>
        <v>37498.230000000003</v>
      </c>
    </row>
    <row r="72" spans="1:2" x14ac:dyDescent="0.2">
      <c r="A72" s="91">
        <v>44166</v>
      </c>
      <c r="B72">
        <v>30602.57</v>
      </c>
    </row>
    <row r="73" spans="1:2" x14ac:dyDescent="0.2">
      <c r="A73" s="91">
        <v>44197</v>
      </c>
      <c r="B73">
        <v>27154.74</v>
      </c>
    </row>
    <row r="74" spans="1:2" x14ac:dyDescent="0.2">
      <c r="A74" s="91">
        <v>44228</v>
      </c>
      <c r="B74">
        <v>23706.91</v>
      </c>
    </row>
    <row r="75" spans="1:2" x14ac:dyDescent="0.2">
      <c r="A75" s="91">
        <v>44256</v>
      </c>
      <c r="B75">
        <v>20259.080000000002</v>
      </c>
    </row>
    <row r="76" spans="1:2" x14ac:dyDescent="0.2">
      <c r="A76" s="91">
        <v>44287</v>
      </c>
      <c r="B76">
        <v>16811.25</v>
      </c>
    </row>
    <row r="77" spans="1:2" x14ac:dyDescent="0.2">
      <c r="A77" s="91">
        <v>44317</v>
      </c>
      <c r="B77">
        <v>13363.42</v>
      </c>
    </row>
    <row r="78" spans="1:2" x14ac:dyDescent="0.2">
      <c r="A78" s="91">
        <v>44348</v>
      </c>
      <c r="B78">
        <v>9915.59</v>
      </c>
    </row>
    <row r="79" spans="1:2" x14ac:dyDescent="0.2">
      <c r="A79" s="91">
        <v>44378</v>
      </c>
      <c r="B79">
        <v>6467.76</v>
      </c>
    </row>
    <row r="80" spans="1:2" x14ac:dyDescent="0.2">
      <c r="A80" s="91">
        <v>44409</v>
      </c>
      <c r="B80">
        <v>3019.93</v>
      </c>
    </row>
    <row r="81" spans="1:2" x14ac:dyDescent="0.2">
      <c r="A81" s="91">
        <v>44440</v>
      </c>
      <c r="B81" t="s">
        <v>588</v>
      </c>
    </row>
  </sheetData>
  <dataValidations count="1">
    <dataValidation type="list" allowBlank="1" showInputMessage="1" showErrorMessage="1" sqref="C35:C41 C44:C51" xr:uid="{00000000-0002-0000-0B00-000000000000}">
      <formula1>#REF!</formula1>
    </dataValidation>
  </dataValidation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81"/>
  <sheetViews>
    <sheetView workbookViewId="0">
      <selection activeCell="D18" sqref="D18"/>
    </sheetView>
  </sheetViews>
  <sheetFormatPr baseColWidth="10" defaultColWidth="8.83203125" defaultRowHeight="15" x14ac:dyDescent="0.2"/>
  <cols>
    <col min="1" max="1" width="55.33203125" bestFit="1" customWidth="1"/>
    <col min="2" max="2" width="19.1640625" bestFit="1" customWidth="1"/>
    <col min="3" max="3" width="20.5" bestFit="1" customWidth="1"/>
    <col min="4" max="4" width="16.5" bestFit="1" customWidth="1"/>
    <col min="5" max="5" width="10.6640625" customWidth="1"/>
    <col min="6" max="6" width="30.6640625" bestFit="1" customWidth="1"/>
    <col min="7" max="7" width="29.6640625" bestFit="1" customWidth="1"/>
    <col min="8" max="8" width="15.33203125" bestFit="1" customWidth="1"/>
    <col min="9" max="9" width="28.83203125" bestFit="1" customWidth="1"/>
    <col min="10" max="10" width="44.3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584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3277.24</v>
      </c>
      <c r="C3" s="51">
        <v>3277.24</v>
      </c>
      <c r="H3" s="26"/>
    </row>
    <row r="4" spans="1:11" x14ac:dyDescent="0.2">
      <c r="A4" s="26" t="s">
        <v>265</v>
      </c>
      <c r="B4">
        <v>1276.0899999999999</v>
      </c>
      <c r="C4">
        <v>1276.0899999999999</v>
      </c>
      <c r="H4" s="26"/>
      <c r="J4" s="90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4553.33</v>
      </c>
      <c r="G8" s="27">
        <f>C9+C10+C11+C12+C13+C14+C15+C16+C17+C18+C19+C20+C21</f>
        <v>4225.6899999999996</v>
      </c>
      <c r="H8" s="27">
        <f>F8-G8</f>
        <v>327.64000000000033</v>
      </c>
    </row>
    <row r="9" spans="1:11" s="24" customFormat="1" x14ac:dyDescent="0.2">
      <c r="A9" s="20" t="s">
        <v>293</v>
      </c>
      <c r="B9" s="20" t="s">
        <v>389</v>
      </c>
      <c r="C9" s="20">
        <v>1578.38</v>
      </c>
      <c r="D9" s="26"/>
      <c r="F9" s="31"/>
      <c r="G9" s="31"/>
      <c r="H9" s="67"/>
      <c r="I9" s="26"/>
    </row>
    <row r="10" spans="1:11" s="24" customFormat="1" x14ac:dyDescent="0.2">
      <c r="A10" s="20" t="s">
        <v>525</v>
      </c>
      <c r="B10" s="20" t="s">
        <v>389</v>
      </c>
      <c r="C10" s="20">
        <v>38.049999999999997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316</v>
      </c>
      <c r="B11" s="20" t="s">
        <v>403</v>
      </c>
      <c r="C11" s="21">
        <v>570.91999999999996</v>
      </c>
      <c r="D11" s="26"/>
      <c r="F11" s="33">
        <f>B3+B4</f>
        <v>4553.33</v>
      </c>
      <c r="G11" s="27">
        <f>C24+C25+C26+C27+C28+C29+C30</f>
        <v>957.93999999999994</v>
      </c>
      <c r="H11" s="27">
        <f>F11-G11</f>
        <v>3595.39</v>
      </c>
      <c r="I11" s="26"/>
    </row>
    <row r="12" spans="1:11" s="24" customFormat="1" x14ac:dyDescent="0.2">
      <c r="A12" s="20" t="s">
        <v>311</v>
      </c>
      <c r="B12" s="20" t="s">
        <v>394</v>
      </c>
      <c r="C12" s="21">
        <v>32.1</v>
      </c>
      <c r="D12" s="26"/>
      <c r="F12" s="31"/>
      <c r="G12" s="31"/>
      <c r="H12" s="31"/>
      <c r="I12" s="26"/>
      <c r="J12" s="51"/>
    </row>
    <row r="13" spans="1:11" s="24" customFormat="1" x14ac:dyDescent="0.2">
      <c r="A13" s="20" t="s">
        <v>536</v>
      </c>
      <c r="B13" s="20" t="s">
        <v>402</v>
      </c>
      <c r="C13" s="21">
        <v>411.14</v>
      </c>
      <c r="D13" s="26"/>
      <c r="F13" s="31"/>
      <c r="G13" s="31"/>
      <c r="H13" s="31"/>
      <c r="I13" s="26"/>
      <c r="J13"/>
    </row>
    <row r="14" spans="1:11" s="24" customFormat="1" x14ac:dyDescent="0.2">
      <c r="A14" s="20" t="s">
        <v>517</v>
      </c>
      <c r="B14" s="20" t="s">
        <v>403</v>
      </c>
      <c r="C14" s="21">
        <v>150</v>
      </c>
      <c r="D14" s="27"/>
      <c r="F14" s="31"/>
      <c r="G14" s="31"/>
      <c r="H14" s="31"/>
      <c r="I14" s="26"/>
      <c r="J14" s="26"/>
      <c r="K14" s="26"/>
    </row>
    <row r="15" spans="1:11" s="24" customFormat="1" x14ac:dyDescent="0.2">
      <c r="A15" s="20" t="s">
        <v>76</v>
      </c>
      <c r="B15" s="20" t="s">
        <v>402</v>
      </c>
      <c r="C15" s="21">
        <v>14.99</v>
      </c>
      <c r="D15" s="26"/>
      <c r="F15" s="31"/>
      <c r="G15" s="31"/>
      <c r="H15" s="31"/>
      <c r="I15" s="26"/>
      <c r="J15" s="26"/>
      <c r="K15" s="26"/>
    </row>
    <row r="16" spans="1:11" s="24" customFormat="1" x14ac:dyDescent="0.2">
      <c r="A16" s="20" t="s">
        <v>521</v>
      </c>
      <c r="B16" s="20" t="s">
        <v>518</v>
      </c>
      <c r="C16" s="21">
        <v>542.02</v>
      </c>
      <c r="D16" s="26"/>
      <c r="F16" s="31"/>
      <c r="G16" s="31"/>
      <c r="H16" s="31"/>
    </row>
    <row r="17" spans="1:9" s="24" customFormat="1" x14ac:dyDescent="0.2">
      <c r="A17" s="20" t="s">
        <v>582</v>
      </c>
      <c r="B17" s="20" t="s">
        <v>401</v>
      </c>
      <c r="C17" s="21">
        <v>100</v>
      </c>
      <c r="D17" s="26"/>
      <c r="F17" s="31"/>
      <c r="G17" s="31"/>
      <c r="H17" s="31"/>
    </row>
    <row r="18" spans="1:9" s="24" customFormat="1" x14ac:dyDescent="0.2">
      <c r="A18" s="20" t="s">
        <v>471</v>
      </c>
      <c r="B18" s="20" t="s">
        <v>401</v>
      </c>
      <c r="C18" s="21">
        <v>153.66</v>
      </c>
      <c r="D18" s="26"/>
      <c r="F18" s="31"/>
      <c r="G18" s="31"/>
      <c r="H18" s="31"/>
    </row>
    <row r="19" spans="1:9" s="24" customFormat="1" x14ac:dyDescent="0.2">
      <c r="A19" s="20" t="s">
        <v>526</v>
      </c>
      <c r="B19" s="20" t="s">
        <v>391</v>
      </c>
      <c r="C19" s="55">
        <v>111.81</v>
      </c>
      <c r="D19" s="26"/>
      <c r="F19" s="31"/>
      <c r="G19" s="31"/>
      <c r="H19" s="31"/>
    </row>
    <row r="20" spans="1:9" s="24" customFormat="1" x14ac:dyDescent="0.2">
      <c r="A20" s="20" t="s">
        <v>520</v>
      </c>
      <c r="B20" s="20" t="s">
        <v>400</v>
      </c>
      <c r="C20" s="21">
        <v>299.61</v>
      </c>
      <c r="F20" s="31"/>
      <c r="G20" s="31"/>
      <c r="H20" s="31"/>
    </row>
    <row r="21" spans="1:9" s="24" customFormat="1" x14ac:dyDescent="0.2">
      <c r="A21" s="20" t="s">
        <v>470</v>
      </c>
      <c r="B21" s="20" t="s">
        <v>400</v>
      </c>
      <c r="C21" s="21">
        <v>223.01</v>
      </c>
      <c r="D21" s="26"/>
      <c r="F21" s="31"/>
      <c r="G21" s="31"/>
      <c r="H21" s="31"/>
      <c r="I21" s="26"/>
    </row>
    <row r="22" spans="1:9" s="24" customFormat="1" x14ac:dyDescent="0.2">
      <c r="A22" s="29"/>
      <c r="B22" s="29"/>
      <c r="C22" s="30"/>
      <c r="D22" s="26"/>
      <c r="F22" s="31"/>
      <c r="G22" s="31"/>
      <c r="H22" s="31"/>
      <c r="I22" s="26"/>
    </row>
    <row r="23" spans="1:9" s="24" customFormat="1" x14ac:dyDescent="0.2">
      <c r="A23" s="32" t="s">
        <v>13</v>
      </c>
      <c r="B23" s="25"/>
      <c r="C23" s="27"/>
      <c r="D23" s="26"/>
      <c r="F23" s="31"/>
      <c r="G23" s="31"/>
      <c r="H23" s="31"/>
      <c r="I23" s="26"/>
    </row>
    <row r="24" spans="1:9" s="24" customFormat="1" x14ac:dyDescent="0.2">
      <c r="A24" s="20" t="s">
        <v>267</v>
      </c>
      <c r="B24" s="20" t="s">
        <v>404</v>
      </c>
      <c r="C24" s="55">
        <v>33.4</v>
      </c>
      <c r="D24" s="26"/>
      <c r="F24" s="31"/>
      <c r="G24" s="31"/>
      <c r="H24" s="31"/>
      <c r="I24" s="26"/>
    </row>
    <row r="25" spans="1:9" s="24" customFormat="1" x14ac:dyDescent="0.2">
      <c r="A25" s="20" t="s">
        <v>438</v>
      </c>
      <c r="B25" s="20" t="s">
        <v>405</v>
      </c>
      <c r="C25" s="21">
        <v>86.5</v>
      </c>
      <c r="D25" s="26"/>
      <c r="F25" s="31"/>
      <c r="G25" s="31"/>
      <c r="H25" s="31"/>
      <c r="I25" s="26"/>
    </row>
    <row r="26" spans="1:9" s="24" customFormat="1" x14ac:dyDescent="0.2">
      <c r="A26" s="20" t="s">
        <v>561</v>
      </c>
      <c r="B26" s="20" t="s">
        <v>562</v>
      </c>
      <c r="C26" s="21">
        <v>68</v>
      </c>
      <c r="D26" s="26"/>
      <c r="F26" s="31"/>
      <c r="G26" s="31"/>
      <c r="H26" s="31"/>
      <c r="I26" s="26"/>
    </row>
    <row r="27" spans="1:9" s="24" customFormat="1" x14ac:dyDescent="0.2">
      <c r="A27" s="20" t="s">
        <v>581</v>
      </c>
      <c r="B27" s="20" t="s">
        <v>562</v>
      </c>
      <c r="C27" s="21">
        <v>100</v>
      </c>
      <c r="D27" s="26"/>
      <c r="F27" s="31"/>
      <c r="G27" s="31"/>
      <c r="H27" s="31"/>
      <c r="I27" s="26"/>
    </row>
    <row r="28" spans="1:9" s="24" customFormat="1" x14ac:dyDescent="0.2">
      <c r="A28" s="20" t="s">
        <v>79</v>
      </c>
      <c r="B28" s="20" t="s">
        <v>390</v>
      </c>
      <c r="C28" s="21">
        <v>227</v>
      </c>
      <c r="D28" s="26"/>
      <c r="F28" s="31"/>
      <c r="G28" s="31"/>
      <c r="H28" s="31"/>
      <c r="I28" s="26"/>
    </row>
    <row r="29" spans="1:9" s="24" customFormat="1" x14ac:dyDescent="0.2">
      <c r="A29" s="20" t="s">
        <v>302</v>
      </c>
      <c r="B29" s="20" t="s">
        <v>388</v>
      </c>
      <c r="C29" s="21">
        <v>216</v>
      </c>
      <c r="D29" s="26"/>
      <c r="F29" s="31"/>
      <c r="G29" s="31"/>
      <c r="H29" s="31"/>
      <c r="I29" s="26"/>
    </row>
    <row r="30" spans="1:9" s="24" customFormat="1" x14ac:dyDescent="0.2">
      <c r="A30" s="20" t="s">
        <v>60</v>
      </c>
      <c r="B30" s="20" t="s">
        <v>395</v>
      </c>
      <c r="C30" s="21">
        <v>227.04</v>
      </c>
      <c r="D30" s="26"/>
      <c r="F30" s="31"/>
      <c r="G30" s="31"/>
      <c r="H30" s="31"/>
      <c r="I30" s="26"/>
    </row>
    <row r="31" spans="1:9" s="24" customFormat="1" x14ac:dyDescent="0.2">
      <c r="A31" s="14"/>
      <c r="B31" s="14"/>
      <c r="C31" s="14"/>
      <c r="D31" s="26"/>
      <c r="F31" s="31"/>
      <c r="G31" s="31"/>
      <c r="H31" s="31"/>
      <c r="I31" s="26"/>
    </row>
    <row r="32" spans="1:9" s="24" customFormat="1" x14ac:dyDescent="0.2">
      <c r="A32"/>
      <c r="B32"/>
      <c r="C32"/>
      <c r="D32" s="26"/>
      <c r="F32" s="31"/>
      <c r="G32" s="31"/>
      <c r="H32" s="31"/>
      <c r="I32" s="26"/>
    </row>
    <row r="33" spans="1:9" s="24" customFormat="1" x14ac:dyDescent="0.2">
      <c r="A33"/>
      <c r="B33" s="26"/>
      <c r="C33"/>
      <c r="D33" s="26"/>
      <c r="F33" s="31"/>
      <c r="G33" s="31"/>
      <c r="H33" s="31"/>
      <c r="I33" s="26"/>
    </row>
    <row r="34" spans="1:9" s="24" customFormat="1" x14ac:dyDescent="0.2">
      <c r="C34"/>
      <c r="D34" s="26"/>
      <c r="F34" s="26"/>
      <c r="G34" s="26"/>
      <c r="H34" s="26"/>
      <c r="I34" s="26"/>
    </row>
    <row r="35" spans="1:9" s="24" customFormat="1" ht="16" thickBot="1" x14ac:dyDescent="0.25">
      <c r="A35" s="92" t="s">
        <v>565</v>
      </c>
      <c r="B35" s="93" t="s">
        <v>568</v>
      </c>
      <c r="C35" s="26"/>
      <c r="D35" s="26"/>
      <c r="F35" s="68" t="s">
        <v>330</v>
      </c>
      <c r="G35" s="26"/>
      <c r="H35" s="26"/>
      <c r="I35" s="26"/>
    </row>
    <row r="36" spans="1:9" s="24" customFormat="1" ht="16" thickTop="1" x14ac:dyDescent="0.2">
      <c r="A36" s="96">
        <v>43469</v>
      </c>
      <c r="B36" s="95">
        <v>6471.16</v>
      </c>
      <c r="C36" s="26"/>
      <c r="D36" s="26"/>
      <c r="F36" s="25">
        <f>(H8+H11)/2</f>
        <v>1961.5150000000001</v>
      </c>
      <c r="G36" s="26"/>
      <c r="H36" s="26"/>
      <c r="I36" s="26"/>
    </row>
    <row r="37" spans="1:9" s="24" customFormat="1" x14ac:dyDescent="0.2">
      <c r="A37" s="96">
        <v>43515</v>
      </c>
      <c r="B37" s="94">
        <v>4421.16</v>
      </c>
      <c r="C37" s="26"/>
      <c r="D37" s="26"/>
      <c r="F37" s="26"/>
      <c r="G37" s="26"/>
      <c r="H37" s="26"/>
      <c r="I37" s="26"/>
    </row>
    <row r="38" spans="1:9" s="24" customFormat="1" x14ac:dyDescent="0.2">
      <c r="A38" s="96">
        <v>43543</v>
      </c>
      <c r="B38" s="95">
        <v>2371.16</v>
      </c>
      <c r="C38" s="26"/>
      <c r="D38" s="26"/>
      <c r="F38" s="26"/>
      <c r="G38" s="26"/>
      <c r="H38" s="26"/>
    </row>
    <row r="39" spans="1:9" s="24" customFormat="1" x14ac:dyDescent="0.2">
      <c r="A39" s="96">
        <v>43574</v>
      </c>
      <c r="B39" s="94">
        <v>321.16000000000003</v>
      </c>
      <c r="C39" s="26"/>
      <c r="D39" s="26"/>
      <c r="F39"/>
      <c r="G39" s="26"/>
      <c r="H39" s="26"/>
    </row>
    <row r="40" spans="1:9" s="26" customFormat="1" x14ac:dyDescent="0.2"/>
    <row r="41" spans="1:9" s="26" customFormat="1" ht="16" x14ac:dyDescent="0.2">
      <c r="A41" s="89" t="s">
        <v>566</v>
      </c>
      <c r="B41" s="88" t="s">
        <v>569</v>
      </c>
      <c r="H41" s="24"/>
    </row>
    <row r="42" spans="1:9" s="26" customFormat="1" x14ac:dyDescent="0.2">
      <c r="A42" s="91">
        <v>43574</v>
      </c>
      <c r="B42" s="26">
        <v>5239.92</v>
      </c>
      <c r="C42"/>
      <c r="H42" s="24"/>
    </row>
    <row r="43" spans="1:9" s="26" customFormat="1" x14ac:dyDescent="0.2">
      <c r="A43" s="91">
        <v>43604</v>
      </c>
      <c r="B43" s="26">
        <v>3121.92</v>
      </c>
      <c r="C43"/>
    </row>
    <row r="44" spans="1:9" s="24" customFormat="1" x14ac:dyDescent="0.2">
      <c r="A44" s="91">
        <v>43635</v>
      </c>
      <c r="B44" s="26">
        <v>1003.92</v>
      </c>
      <c r="C44" s="26"/>
      <c r="D44" s="77"/>
      <c r="F44" s="26"/>
      <c r="G44" s="26"/>
      <c r="H44" s="26"/>
      <c r="I44" s="26"/>
    </row>
    <row r="45" spans="1:9" s="26" customFormat="1" x14ac:dyDescent="0.2">
      <c r="A45" s="91">
        <v>43665</v>
      </c>
      <c r="B45" s="26" t="s">
        <v>585</v>
      </c>
    </row>
    <row r="46" spans="1:9" s="26" customFormat="1" x14ac:dyDescent="0.2">
      <c r="H46" s="24"/>
    </row>
    <row r="47" spans="1:9" s="26" customFormat="1" x14ac:dyDescent="0.2">
      <c r="A47" s="87" t="s">
        <v>567</v>
      </c>
      <c r="B47" s="88" t="s">
        <v>570</v>
      </c>
      <c r="G47" s="24"/>
      <c r="H47" s="24"/>
    </row>
    <row r="48" spans="1:9" s="24" customFormat="1" x14ac:dyDescent="0.2">
      <c r="A48" s="91">
        <v>43665</v>
      </c>
      <c r="B48" s="26">
        <v>10179.68</v>
      </c>
      <c r="C48" s="26"/>
      <c r="D48" s="26"/>
      <c r="F48" s="26"/>
      <c r="G48" s="26"/>
      <c r="I48" s="26"/>
    </row>
    <row r="49" spans="1:9" s="24" customFormat="1" x14ac:dyDescent="0.2">
      <c r="A49" s="91">
        <v>43696</v>
      </c>
      <c r="B49" s="26">
        <v>7650.54</v>
      </c>
      <c r="C49" s="26"/>
      <c r="D49" s="26"/>
      <c r="F49" s="26"/>
      <c r="G49" s="26"/>
      <c r="H49" s="26"/>
      <c r="I49" s="26"/>
    </row>
    <row r="50" spans="1:9" s="24" customFormat="1" x14ac:dyDescent="0.2">
      <c r="A50" s="91">
        <v>43727</v>
      </c>
      <c r="B50" s="26">
        <v>5121.3999999999996</v>
      </c>
      <c r="C50" s="26"/>
      <c r="D50" s="26"/>
      <c r="F50" s="26"/>
      <c r="G50" s="26"/>
      <c r="H50" s="26"/>
      <c r="I50" s="26"/>
    </row>
    <row r="51" spans="1:9" s="26" customFormat="1" x14ac:dyDescent="0.2">
      <c r="A51" s="91">
        <v>43757</v>
      </c>
      <c r="B51" s="26">
        <v>2592.2600000000002</v>
      </c>
      <c r="H51"/>
    </row>
    <row r="52" spans="1:9" s="26" customFormat="1" x14ac:dyDescent="0.2">
      <c r="A52" s="91">
        <v>43788</v>
      </c>
      <c r="B52" s="26">
        <v>63.12</v>
      </c>
      <c r="C52"/>
      <c r="H52"/>
      <c r="I52"/>
    </row>
    <row r="53" spans="1:9" x14ac:dyDescent="0.2">
      <c r="A53" s="91">
        <v>43818</v>
      </c>
      <c r="B53" s="26" t="s">
        <v>586</v>
      </c>
      <c r="F53" s="26"/>
      <c r="G53" s="26"/>
      <c r="H53" s="26"/>
    </row>
    <row r="54" spans="1:9" x14ac:dyDescent="0.2">
      <c r="A54" s="91"/>
      <c r="B54" s="26"/>
      <c r="G54" s="26"/>
      <c r="H54" s="26"/>
    </row>
    <row r="55" spans="1:9" s="26" customFormat="1" x14ac:dyDescent="0.2">
      <c r="A55" s="91"/>
      <c r="B55"/>
      <c r="C55"/>
      <c r="F55"/>
      <c r="H55"/>
      <c r="I55"/>
    </row>
    <row r="56" spans="1:9" s="26" customFormat="1" x14ac:dyDescent="0.2">
      <c r="C56"/>
      <c r="G56"/>
      <c r="H56"/>
      <c r="I56"/>
    </row>
    <row r="57" spans="1:9" x14ac:dyDescent="0.2">
      <c r="A57" s="26"/>
      <c r="B57" s="26"/>
      <c r="F57" s="26"/>
    </row>
    <row r="58" spans="1:9" x14ac:dyDescent="0.2">
      <c r="A58" s="26" t="s">
        <v>573</v>
      </c>
      <c r="B58" s="26" t="s">
        <v>579</v>
      </c>
    </row>
    <row r="59" spans="1:9" x14ac:dyDescent="0.2">
      <c r="A59" s="91">
        <v>43831</v>
      </c>
      <c r="B59" s="26">
        <v>8489.42</v>
      </c>
    </row>
    <row r="60" spans="1:9" x14ac:dyDescent="0.2">
      <c r="A60" s="91">
        <v>43862</v>
      </c>
      <c r="B60">
        <v>5583.61</v>
      </c>
    </row>
    <row r="61" spans="1:9" x14ac:dyDescent="0.2">
      <c r="A61" s="91">
        <v>43891</v>
      </c>
      <c r="B61" s="26">
        <v>2677.8</v>
      </c>
    </row>
    <row r="62" spans="1:9" x14ac:dyDescent="0.2">
      <c r="A62" s="91">
        <v>43922</v>
      </c>
      <c r="B62" s="26" t="s">
        <v>587</v>
      </c>
    </row>
    <row r="64" spans="1:9" x14ac:dyDescent="0.2">
      <c r="A64" t="s">
        <v>574</v>
      </c>
      <c r="B64" t="s">
        <v>576</v>
      </c>
    </row>
    <row r="65" spans="1:2" x14ac:dyDescent="0.2">
      <c r="A65" s="91">
        <v>43952</v>
      </c>
      <c r="B65">
        <v>54737.38</v>
      </c>
    </row>
    <row r="66" spans="1:2" x14ac:dyDescent="0.2">
      <c r="A66" s="91">
        <v>43983</v>
      </c>
      <c r="B66">
        <v>51289.55</v>
      </c>
    </row>
    <row r="67" spans="1:2" x14ac:dyDescent="0.2">
      <c r="A67" s="91">
        <v>44013</v>
      </c>
      <c r="B67">
        <v>47841.72</v>
      </c>
    </row>
    <row r="68" spans="1:2" x14ac:dyDescent="0.2">
      <c r="A68" s="91">
        <v>44044</v>
      </c>
      <c r="B68">
        <v>44393.89</v>
      </c>
    </row>
    <row r="69" spans="1:2" x14ac:dyDescent="0.2">
      <c r="A69" s="91">
        <v>44075</v>
      </c>
      <c r="B69">
        <v>40946.06</v>
      </c>
    </row>
    <row r="70" spans="1:2" x14ac:dyDescent="0.2">
      <c r="A70" s="91">
        <v>44105</v>
      </c>
      <c r="B70">
        <v>37498.230000000003</v>
      </c>
    </row>
    <row r="71" spans="1:2" x14ac:dyDescent="0.2">
      <c r="A71" s="91">
        <v>44136</v>
      </c>
      <c r="B71">
        <f>B70-'January 2019'!G38</f>
        <v>37498.230000000003</v>
      </c>
    </row>
    <row r="72" spans="1:2" x14ac:dyDescent="0.2">
      <c r="A72" s="91">
        <v>44166</v>
      </c>
      <c r="B72">
        <v>30602.57</v>
      </c>
    </row>
    <row r="73" spans="1:2" x14ac:dyDescent="0.2">
      <c r="A73" s="91">
        <v>44197</v>
      </c>
      <c r="B73">
        <v>27154.74</v>
      </c>
    </row>
    <row r="74" spans="1:2" x14ac:dyDescent="0.2">
      <c r="A74" s="91">
        <v>44228</v>
      </c>
      <c r="B74">
        <v>23706.91</v>
      </c>
    </row>
    <row r="75" spans="1:2" x14ac:dyDescent="0.2">
      <c r="A75" s="91">
        <v>44256</v>
      </c>
      <c r="B75">
        <v>20259.080000000002</v>
      </c>
    </row>
    <row r="76" spans="1:2" x14ac:dyDescent="0.2">
      <c r="A76" s="91">
        <v>44287</v>
      </c>
      <c r="B76">
        <v>16811.25</v>
      </c>
    </row>
    <row r="77" spans="1:2" x14ac:dyDescent="0.2">
      <c r="A77" s="91">
        <v>44317</v>
      </c>
      <c r="B77">
        <v>13363.42</v>
      </c>
    </row>
    <row r="78" spans="1:2" x14ac:dyDescent="0.2">
      <c r="A78" s="91">
        <v>44348</v>
      </c>
      <c r="B78">
        <v>9915.59</v>
      </c>
    </row>
    <row r="79" spans="1:2" x14ac:dyDescent="0.2">
      <c r="A79" s="91">
        <v>44378</v>
      </c>
      <c r="B79">
        <v>6467.76</v>
      </c>
    </row>
    <row r="80" spans="1:2" x14ac:dyDescent="0.2">
      <c r="A80" s="91">
        <v>44409</v>
      </c>
      <c r="B80">
        <v>3019.93</v>
      </c>
    </row>
    <row r="81" spans="1:2" x14ac:dyDescent="0.2">
      <c r="A81" s="91">
        <v>44440</v>
      </c>
      <c r="B81" t="s">
        <v>588</v>
      </c>
    </row>
  </sheetData>
  <dataValidations count="1">
    <dataValidation type="list" allowBlank="1" showInputMessage="1" showErrorMessage="1" sqref="C35:C41 C44:C51" xr:uid="{00000000-0002-0000-0C00-000000000000}">
      <formula1>#REF!</formula1>
    </dataValidation>
  </dataValidation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99"/>
  <sheetViews>
    <sheetView topLeftCell="A19" workbookViewId="0">
      <selection activeCell="A33" sqref="A33:B44"/>
    </sheetView>
  </sheetViews>
  <sheetFormatPr baseColWidth="10" defaultColWidth="8.83203125" defaultRowHeight="15" x14ac:dyDescent="0.2"/>
  <cols>
    <col min="1" max="1" width="55.33203125" bestFit="1" customWidth="1"/>
    <col min="2" max="2" width="18.6640625" bestFit="1" customWidth="1"/>
    <col min="3" max="3" width="20.5" bestFit="1" customWidth="1"/>
    <col min="4" max="4" width="16.5" bestFit="1" customWidth="1"/>
    <col min="5" max="5" width="10.6640625" customWidth="1"/>
    <col min="6" max="6" width="30.6640625" bestFit="1" customWidth="1"/>
    <col min="7" max="7" width="29.6640625" bestFit="1" customWidth="1"/>
    <col min="8" max="8" width="15.33203125" bestFit="1" customWidth="1"/>
    <col min="9" max="9" width="28.83203125" bestFit="1" customWidth="1"/>
    <col min="10" max="10" width="44.3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583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3268.89</v>
      </c>
      <c r="C3" s="51">
        <v>3268.89</v>
      </c>
      <c r="H3" s="26"/>
    </row>
    <row r="4" spans="1:11" x14ac:dyDescent="0.2">
      <c r="A4" s="26" t="s">
        <v>265</v>
      </c>
      <c r="B4">
        <v>1306.22</v>
      </c>
      <c r="C4">
        <v>1306.22</v>
      </c>
      <c r="H4" s="26"/>
      <c r="J4" s="90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4575.1099999999997</v>
      </c>
      <c r="G8" s="27">
        <f>C9+C10+C11+C12+C13+C14+C15+C16+C17+C18+C19+C20+C21</f>
        <v>4225.6899999999996</v>
      </c>
      <c r="H8" s="27">
        <f>F8-G8</f>
        <v>349.42000000000007</v>
      </c>
    </row>
    <row r="9" spans="1:11" s="24" customFormat="1" x14ac:dyDescent="0.2">
      <c r="A9" s="20" t="s">
        <v>293</v>
      </c>
      <c r="B9" s="20" t="s">
        <v>389</v>
      </c>
      <c r="C9" s="20">
        <v>1578.38</v>
      </c>
      <c r="D9" s="26"/>
      <c r="F9" s="31"/>
      <c r="G9" s="31"/>
      <c r="H9" s="67"/>
      <c r="I9" s="26"/>
    </row>
    <row r="10" spans="1:11" s="24" customFormat="1" x14ac:dyDescent="0.2">
      <c r="A10" s="20" t="s">
        <v>525</v>
      </c>
      <c r="B10" s="20" t="s">
        <v>389</v>
      </c>
      <c r="C10" s="20">
        <v>38.049999999999997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316</v>
      </c>
      <c r="B11" s="20" t="s">
        <v>403</v>
      </c>
      <c r="C11" s="21">
        <v>570.91999999999996</v>
      </c>
      <c r="D11" s="26"/>
      <c r="F11" s="33">
        <f>B3+B4</f>
        <v>4575.1099999999997</v>
      </c>
      <c r="G11" s="27">
        <f>C24+C25+C26+C27+C28+C29+C30</f>
        <v>958.93999999999994</v>
      </c>
      <c r="H11" s="27">
        <f>F11-G11</f>
        <v>3616.1699999999996</v>
      </c>
      <c r="I11" s="26"/>
    </row>
    <row r="12" spans="1:11" s="24" customFormat="1" x14ac:dyDescent="0.2">
      <c r="A12" s="20" t="s">
        <v>311</v>
      </c>
      <c r="B12" s="20" t="s">
        <v>394</v>
      </c>
      <c r="C12" s="21">
        <v>32.1</v>
      </c>
      <c r="D12" s="26"/>
      <c r="F12" s="31"/>
      <c r="G12" s="31"/>
      <c r="H12" s="31"/>
      <c r="I12" s="26"/>
      <c r="J12" s="51"/>
    </row>
    <row r="13" spans="1:11" s="24" customFormat="1" x14ac:dyDescent="0.2">
      <c r="A13" s="20" t="s">
        <v>536</v>
      </c>
      <c r="B13" s="20" t="s">
        <v>402</v>
      </c>
      <c r="C13" s="21">
        <v>411.14</v>
      </c>
      <c r="D13" s="26"/>
      <c r="F13" s="31"/>
      <c r="G13" s="31"/>
      <c r="H13" s="31"/>
      <c r="I13" s="26"/>
      <c r="J13"/>
    </row>
    <row r="14" spans="1:11" s="24" customFormat="1" x14ac:dyDescent="0.2">
      <c r="A14" s="20" t="s">
        <v>517</v>
      </c>
      <c r="B14" s="20" t="s">
        <v>403</v>
      </c>
      <c r="C14" s="21">
        <v>150</v>
      </c>
      <c r="D14" s="26"/>
      <c r="F14" s="31"/>
      <c r="G14" s="31"/>
      <c r="H14" s="31"/>
      <c r="I14" s="26"/>
      <c r="J14" s="26"/>
      <c r="K14" s="26"/>
    </row>
    <row r="15" spans="1:11" s="24" customFormat="1" x14ac:dyDescent="0.2">
      <c r="A15" s="20" t="s">
        <v>76</v>
      </c>
      <c r="B15" s="20" t="s">
        <v>402</v>
      </c>
      <c r="C15" s="21">
        <v>14.99</v>
      </c>
      <c r="D15" s="26"/>
      <c r="F15" s="31"/>
      <c r="G15" s="31"/>
      <c r="H15" s="31"/>
      <c r="I15" s="26"/>
      <c r="J15" s="26"/>
      <c r="K15" s="26"/>
    </row>
    <row r="16" spans="1:11" s="24" customFormat="1" x14ac:dyDescent="0.2">
      <c r="A16" s="20" t="s">
        <v>521</v>
      </c>
      <c r="B16" s="20" t="s">
        <v>518</v>
      </c>
      <c r="C16" s="21">
        <v>542.02</v>
      </c>
      <c r="D16" s="26"/>
      <c r="F16" s="31"/>
      <c r="G16" s="31"/>
      <c r="H16" s="31"/>
    </row>
    <row r="17" spans="1:9" s="24" customFormat="1" x14ac:dyDescent="0.2">
      <c r="A17" s="20" t="s">
        <v>582</v>
      </c>
      <c r="B17" s="20" t="s">
        <v>401</v>
      </c>
      <c r="C17" s="21">
        <v>100</v>
      </c>
      <c r="D17" s="26"/>
      <c r="F17" s="31"/>
      <c r="G17" s="31"/>
      <c r="H17" s="31"/>
    </row>
    <row r="18" spans="1:9" s="24" customFormat="1" x14ac:dyDescent="0.2">
      <c r="A18" s="20" t="s">
        <v>471</v>
      </c>
      <c r="B18" s="20" t="s">
        <v>401</v>
      </c>
      <c r="C18" s="21">
        <v>153.66</v>
      </c>
      <c r="D18" s="26"/>
      <c r="F18" s="31"/>
      <c r="G18" s="31"/>
      <c r="H18" s="31"/>
    </row>
    <row r="19" spans="1:9" s="24" customFormat="1" x14ac:dyDescent="0.2">
      <c r="A19" s="20" t="s">
        <v>526</v>
      </c>
      <c r="B19" s="20" t="s">
        <v>391</v>
      </c>
      <c r="C19" s="55">
        <v>111.81</v>
      </c>
      <c r="D19" s="26"/>
      <c r="F19" s="31"/>
      <c r="G19" s="31"/>
      <c r="H19" s="31"/>
    </row>
    <row r="20" spans="1:9" s="24" customFormat="1" x14ac:dyDescent="0.2">
      <c r="A20" s="20" t="s">
        <v>520</v>
      </c>
      <c r="B20" s="20" t="s">
        <v>400</v>
      </c>
      <c r="C20" s="21">
        <v>299.61</v>
      </c>
      <c r="F20" s="31"/>
      <c r="G20" s="31"/>
      <c r="H20" s="31"/>
    </row>
    <row r="21" spans="1:9" s="24" customFormat="1" x14ac:dyDescent="0.2">
      <c r="A21" s="20" t="s">
        <v>470</v>
      </c>
      <c r="B21" s="20" t="s">
        <v>400</v>
      </c>
      <c r="C21" s="21">
        <v>223.01</v>
      </c>
      <c r="D21" s="26"/>
      <c r="F21" s="31"/>
      <c r="G21" s="31"/>
      <c r="H21" s="31"/>
      <c r="I21" s="26"/>
    </row>
    <row r="22" spans="1:9" s="24" customFormat="1" x14ac:dyDescent="0.2">
      <c r="A22" s="29"/>
      <c r="B22" s="29"/>
      <c r="C22" s="30"/>
      <c r="D22" s="26"/>
      <c r="F22" s="31"/>
      <c r="G22" s="31"/>
      <c r="H22" s="31"/>
      <c r="I22" s="26"/>
    </row>
    <row r="23" spans="1:9" s="24" customFormat="1" x14ac:dyDescent="0.2">
      <c r="A23" s="32" t="s">
        <v>13</v>
      </c>
      <c r="B23" s="25"/>
      <c r="C23" s="27"/>
      <c r="D23" s="26"/>
      <c r="F23" s="31"/>
      <c r="G23" s="31"/>
      <c r="H23" s="31"/>
      <c r="I23" s="26"/>
    </row>
    <row r="24" spans="1:9" s="24" customFormat="1" x14ac:dyDescent="0.2">
      <c r="A24" s="20" t="s">
        <v>267</v>
      </c>
      <c r="B24" s="20" t="s">
        <v>404</v>
      </c>
      <c r="C24" s="55">
        <v>33.4</v>
      </c>
      <c r="D24" s="26"/>
      <c r="F24" s="31"/>
      <c r="G24" s="31"/>
      <c r="H24" s="31"/>
      <c r="I24" s="26"/>
    </row>
    <row r="25" spans="1:9" s="24" customFormat="1" x14ac:dyDescent="0.2">
      <c r="A25" s="20" t="s">
        <v>438</v>
      </c>
      <c r="B25" s="20" t="s">
        <v>405</v>
      </c>
      <c r="C25" s="21">
        <v>86.5</v>
      </c>
      <c r="D25" s="26"/>
      <c r="F25" s="31"/>
      <c r="G25" s="31"/>
      <c r="H25" s="31"/>
      <c r="I25" s="26"/>
    </row>
    <row r="26" spans="1:9" s="24" customFormat="1" x14ac:dyDescent="0.2">
      <c r="A26" s="20" t="s">
        <v>561</v>
      </c>
      <c r="B26" s="20" t="s">
        <v>562</v>
      </c>
      <c r="C26" s="21">
        <v>68</v>
      </c>
      <c r="D26" s="26"/>
      <c r="F26" s="31"/>
      <c r="G26" s="31"/>
      <c r="H26" s="31"/>
      <c r="I26" s="26"/>
    </row>
    <row r="27" spans="1:9" s="24" customFormat="1" x14ac:dyDescent="0.2">
      <c r="A27" s="20" t="s">
        <v>581</v>
      </c>
      <c r="B27" s="20" t="s">
        <v>562</v>
      </c>
      <c r="C27" s="21">
        <v>100</v>
      </c>
      <c r="D27" s="26"/>
      <c r="F27" s="31"/>
      <c r="G27" s="31"/>
      <c r="H27" s="31"/>
      <c r="I27" s="26"/>
    </row>
    <row r="28" spans="1:9" s="24" customFormat="1" x14ac:dyDescent="0.2">
      <c r="A28" s="20" t="s">
        <v>79</v>
      </c>
      <c r="B28" s="20" t="s">
        <v>390</v>
      </c>
      <c r="C28" s="21">
        <v>227</v>
      </c>
      <c r="D28" s="26"/>
      <c r="F28" s="31"/>
      <c r="G28" s="31"/>
      <c r="H28" s="31"/>
      <c r="I28" s="26"/>
    </row>
    <row r="29" spans="1:9" s="24" customFormat="1" x14ac:dyDescent="0.2">
      <c r="A29" s="20" t="s">
        <v>302</v>
      </c>
      <c r="B29" s="20" t="s">
        <v>388</v>
      </c>
      <c r="C29" s="21">
        <v>217</v>
      </c>
      <c r="D29" s="26"/>
      <c r="F29" s="31"/>
      <c r="G29" s="31"/>
      <c r="H29" s="31"/>
      <c r="I29" s="26"/>
    </row>
    <row r="30" spans="1:9" s="24" customFormat="1" x14ac:dyDescent="0.2">
      <c r="A30" s="20" t="s">
        <v>60</v>
      </c>
      <c r="B30" s="20" t="s">
        <v>395</v>
      </c>
      <c r="C30" s="21">
        <v>227.04</v>
      </c>
      <c r="D30" s="26"/>
      <c r="F30" s="31"/>
      <c r="G30" s="31"/>
      <c r="H30" s="31"/>
      <c r="I30" s="26"/>
    </row>
    <row r="31" spans="1:9" s="24" customFormat="1" x14ac:dyDescent="0.2">
      <c r="A31" s="14"/>
      <c r="B31" s="14"/>
      <c r="C31" s="14"/>
      <c r="D31" s="26"/>
      <c r="F31" s="31"/>
      <c r="G31" s="31"/>
      <c r="H31" s="31"/>
      <c r="I31" s="26"/>
    </row>
    <row r="32" spans="1:9" s="24" customFormat="1" x14ac:dyDescent="0.2">
      <c r="A32"/>
      <c r="B32"/>
      <c r="C32"/>
      <c r="D32" s="26"/>
      <c r="F32" s="31"/>
      <c r="G32" s="31"/>
      <c r="H32" s="31"/>
      <c r="I32" s="26"/>
    </row>
    <row r="33" spans="1:9" s="24" customFormat="1" x14ac:dyDescent="0.2">
      <c r="A33" s="87" t="s">
        <v>565</v>
      </c>
      <c r="B33" s="88" t="s">
        <v>568</v>
      </c>
      <c r="C33" t="s">
        <v>578</v>
      </c>
      <c r="D33" s="26"/>
      <c r="F33" s="31"/>
      <c r="G33" s="31"/>
      <c r="H33" s="31"/>
      <c r="I33" s="26"/>
    </row>
    <row r="34" spans="1:9" s="24" customFormat="1" x14ac:dyDescent="0.2">
      <c r="A34" s="85">
        <v>43371</v>
      </c>
      <c r="B34">
        <v>9621.16</v>
      </c>
      <c r="C34" s="26" t="s">
        <v>571</v>
      </c>
      <c r="D34" s="26"/>
      <c r="F34" s="26"/>
      <c r="G34" s="26"/>
      <c r="H34" s="26"/>
      <c r="I34" s="26"/>
    </row>
    <row r="35" spans="1:9" s="24" customFormat="1" x14ac:dyDescent="0.2">
      <c r="A35" s="86">
        <v>43385</v>
      </c>
      <c r="B35">
        <v>8671.16</v>
      </c>
      <c r="C35" s="26" t="s">
        <v>571</v>
      </c>
      <c r="D35" s="26"/>
      <c r="F35" s="68" t="s">
        <v>330</v>
      </c>
      <c r="G35" s="26"/>
      <c r="H35" s="26"/>
      <c r="I35" s="26"/>
    </row>
    <row r="36" spans="1:9" s="24" customFormat="1" x14ac:dyDescent="0.2">
      <c r="A36" s="86"/>
      <c r="C36" s="26"/>
      <c r="D36" s="26"/>
      <c r="F36" s="25">
        <f>(H8+H11)/2</f>
        <v>1982.7949999999998</v>
      </c>
      <c r="G36" s="26"/>
      <c r="H36" s="26"/>
      <c r="I36" s="26"/>
    </row>
    <row r="37" spans="1:9" s="24" customFormat="1" x14ac:dyDescent="0.2">
      <c r="A37" s="85">
        <v>43413</v>
      </c>
      <c r="B37" s="26">
        <v>7721.16</v>
      </c>
      <c r="C37" s="26" t="s">
        <v>571</v>
      </c>
      <c r="D37" s="26"/>
      <c r="F37" s="26"/>
      <c r="G37" s="26"/>
      <c r="H37" s="26"/>
      <c r="I37" s="26"/>
    </row>
    <row r="38" spans="1:9" s="26" customFormat="1" x14ac:dyDescent="0.2">
      <c r="A38" s="85">
        <v>43441</v>
      </c>
      <c r="B38" s="26">
        <v>6621.16</v>
      </c>
      <c r="F38" s="24"/>
      <c r="G38" s="24"/>
      <c r="H38" s="71"/>
    </row>
    <row r="39" spans="1:9" s="26" customFormat="1" x14ac:dyDescent="0.2">
      <c r="A39" s="86">
        <v>43455</v>
      </c>
      <c r="B39" s="26">
        <v>5671.16</v>
      </c>
      <c r="F39" s="24"/>
      <c r="G39" s="24"/>
      <c r="H39" s="71"/>
    </row>
    <row r="40" spans="1:9" s="24" customFormat="1" x14ac:dyDescent="0.2">
      <c r="A40" s="86">
        <v>43469</v>
      </c>
      <c r="B40" s="26">
        <v>4571.16</v>
      </c>
      <c r="C40" s="26"/>
      <c r="D40" s="26"/>
      <c r="F40" s="26"/>
      <c r="G40" s="26"/>
      <c r="H40" s="26"/>
    </row>
    <row r="41" spans="1:9" s="24" customFormat="1" x14ac:dyDescent="0.2">
      <c r="A41" s="85">
        <v>43483</v>
      </c>
      <c r="B41" s="26">
        <v>3621.16</v>
      </c>
      <c r="C41" s="26"/>
      <c r="D41" s="26"/>
      <c r="F41"/>
      <c r="G41" s="26"/>
      <c r="H41" s="26"/>
    </row>
    <row r="42" spans="1:9" s="26" customFormat="1" x14ac:dyDescent="0.2">
      <c r="A42" s="85">
        <v>43497</v>
      </c>
      <c r="B42" s="26">
        <v>2521.16</v>
      </c>
    </row>
    <row r="43" spans="1:9" s="26" customFormat="1" x14ac:dyDescent="0.2">
      <c r="A43" s="85">
        <v>43511</v>
      </c>
      <c r="B43" s="26">
        <v>1571.16</v>
      </c>
      <c r="H43" s="24"/>
    </row>
    <row r="44" spans="1:9" s="26" customFormat="1" x14ac:dyDescent="0.2">
      <c r="A44" s="85">
        <v>43525</v>
      </c>
      <c r="B44" s="26">
        <v>471.16</v>
      </c>
      <c r="H44" s="24"/>
    </row>
    <row r="45" spans="1:9" s="26" customFormat="1" x14ac:dyDescent="0.2">
      <c r="A45"/>
      <c r="C45"/>
    </row>
    <row r="46" spans="1:9" s="24" customFormat="1" ht="16" x14ac:dyDescent="0.2">
      <c r="A46" s="89" t="s">
        <v>566</v>
      </c>
      <c r="B46" s="88" t="s">
        <v>569</v>
      </c>
      <c r="C46"/>
      <c r="D46" s="77"/>
      <c r="F46" s="26"/>
      <c r="G46" s="26"/>
      <c r="H46" s="26"/>
      <c r="I46" s="26"/>
    </row>
    <row r="47" spans="1:9" s="26" customFormat="1" x14ac:dyDescent="0.2">
      <c r="A47" s="86">
        <v>43525</v>
      </c>
      <c r="B47" s="26">
        <v>5304.92</v>
      </c>
    </row>
    <row r="48" spans="1:9" s="26" customFormat="1" x14ac:dyDescent="0.2">
      <c r="A48" s="86">
        <v>43539</v>
      </c>
      <c r="B48" s="26">
        <v>4136.92</v>
      </c>
      <c r="H48" s="24"/>
    </row>
    <row r="49" spans="1:9" s="26" customFormat="1" x14ac:dyDescent="0.2">
      <c r="A49" s="86">
        <v>43553</v>
      </c>
      <c r="B49" s="26">
        <v>2968.92</v>
      </c>
      <c r="G49" s="24"/>
      <c r="H49" s="24"/>
    </row>
    <row r="50" spans="1:9" s="24" customFormat="1" x14ac:dyDescent="0.2">
      <c r="A50" s="86">
        <v>43567</v>
      </c>
      <c r="B50" s="26">
        <v>1800.92</v>
      </c>
      <c r="C50" s="26"/>
      <c r="D50" s="26"/>
      <c r="F50" s="26"/>
      <c r="G50" s="26"/>
      <c r="I50" s="26"/>
    </row>
    <row r="51" spans="1:9" s="24" customFormat="1" x14ac:dyDescent="0.2">
      <c r="A51" s="86">
        <v>43581</v>
      </c>
      <c r="B51" s="26">
        <v>632.91999999999996</v>
      </c>
      <c r="C51" s="26"/>
      <c r="D51" s="26"/>
      <c r="F51" s="26"/>
      <c r="G51" s="26"/>
      <c r="H51" s="26"/>
      <c r="I51" s="26"/>
    </row>
    <row r="52" spans="1:9" s="24" customFormat="1" x14ac:dyDescent="0.2">
      <c r="A52" s="86">
        <v>43595</v>
      </c>
      <c r="B52" s="26">
        <v>-535.08000000000004</v>
      </c>
      <c r="C52" s="26"/>
      <c r="D52" s="26"/>
      <c r="F52" s="26"/>
      <c r="G52" s="26"/>
      <c r="H52" s="26"/>
      <c r="I52" s="26"/>
    </row>
    <row r="53" spans="1:9" s="26" customFormat="1" x14ac:dyDescent="0.2">
      <c r="H53"/>
    </row>
    <row r="54" spans="1:9" s="26" customFormat="1" x14ac:dyDescent="0.2">
      <c r="A54" s="87" t="s">
        <v>567</v>
      </c>
      <c r="B54" s="88" t="s">
        <v>570</v>
      </c>
      <c r="C54"/>
      <c r="H54"/>
      <c r="I54"/>
    </row>
    <row r="55" spans="1:9" x14ac:dyDescent="0.2">
      <c r="A55" s="86">
        <v>43609</v>
      </c>
      <c r="B55" s="26">
        <v>10129.68</v>
      </c>
      <c r="F55" s="26"/>
      <c r="G55" s="26"/>
      <c r="H55" s="26"/>
    </row>
    <row r="56" spans="1:9" x14ac:dyDescent="0.2">
      <c r="A56" s="86">
        <v>43623</v>
      </c>
      <c r="B56" s="26">
        <v>8550.68</v>
      </c>
      <c r="C56" s="26"/>
      <c r="G56" s="26"/>
      <c r="H56" s="26"/>
    </row>
    <row r="57" spans="1:9" s="26" customFormat="1" x14ac:dyDescent="0.2">
      <c r="A57" s="86">
        <v>43637</v>
      </c>
      <c r="B57" s="26">
        <v>6971.68</v>
      </c>
      <c r="F57"/>
      <c r="H57"/>
      <c r="I57"/>
    </row>
    <row r="58" spans="1:9" s="26" customFormat="1" x14ac:dyDescent="0.2">
      <c r="A58" s="86">
        <v>43651</v>
      </c>
      <c r="B58" s="26">
        <v>5392.68</v>
      </c>
      <c r="G58"/>
      <c r="H58"/>
      <c r="I58"/>
    </row>
    <row r="59" spans="1:9" x14ac:dyDescent="0.2">
      <c r="A59" s="86">
        <v>43665</v>
      </c>
      <c r="B59" s="26">
        <v>3813.68</v>
      </c>
      <c r="C59" s="26"/>
      <c r="F59" s="26"/>
    </row>
    <row r="60" spans="1:9" x14ac:dyDescent="0.2">
      <c r="A60" s="86">
        <v>43679</v>
      </c>
      <c r="B60" s="26">
        <v>2234.69</v>
      </c>
      <c r="C60" s="26"/>
    </row>
    <row r="61" spans="1:9" x14ac:dyDescent="0.2">
      <c r="A61" s="86">
        <v>43693</v>
      </c>
      <c r="B61" s="26">
        <v>655.68</v>
      </c>
      <c r="C61" s="26"/>
    </row>
    <row r="62" spans="1:9" x14ac:dyDescent="0.2">
      <c r="A62" s="86">
        <v>43707</v>
      </c>
      <c r="B62">
        <v>-923.32</v>
      </c>
      <c r="C62" s="26"/>
    </row>
    <row r="63" spans="1:9" x14ac:dyDescent="0.2">
      <c r="A63" s="26"/>
      <c r="B63" s="26"/>
      <c r="C63" s="26"/>
    </row>
    <row r="64" spans="1:9" x14ac:dyDescent="0.2">
      <c r="A64" s="26" t="s">
        <v>571</v>
      </c>
      <c r="B64" s="26"/>
    </row>
    <row r="65" spans="1:2" x14ac:dyDescent="0.2">
      <c r="A65" s="26" t="s">
        <v>572</v>
      </c>
      <c r="B65" s="26"/>
    </row>
    <row r="66" spans="1:2" x14ac:dyDescent="0.2">
      <c r="A66" s="26"/>
      <c r="B66" s="26"/>
    </row>
    <row r="67" spans="1:2" x14ac:dyDescent="0.2">
      <c r="A67" s="26" t="s">
        <v>573</v>
      </c>
      <c r="B67" s="26" t="s">
        <v>579</v>
      </c>
    </row>
    <row r="68" spans="1:2" x14ac:dyDescent="0.2">
      <c r="A68" s="86">
        <v>43721</v>
      </c>
      <c r="B68" s="26">
        <v>9538.82</v>
      </c>
    </row>
    <row r="69" spans="1:2" x14ac:dyDescent="0.2">
      <c r="A69" s="85">
        <v>43735</v>
      </c>
      <c r="B69">
        <v>7564.51</v>
      </c>
    </row>
    <row r="70" spans="1:2" x14ac:dyDescent="0.2">
      <c r="A70" s="85">
        <v>43749</v>
      </c>
      <c r="B70" s="26">
        <v>5590.2</v>
      </c>
    </row>
    <row r="71" spans="1:2" x14ac:dyDescent="0.2">
      <c r="A71" s="85">
        <v>43763</v>
      </c>
      <c r="B71" s="26">
        <v>3615.89</v>
      </c>
    </row>
    <row r="72" spans="1:2" x14ac:dyDescent="0.2">
      <c r="A72" s="85">
        <v>43777</v>
      </c>
      <c r="B72" s="26">
        <v>1641.58</v>
      </c>
    </row>
    <row r="73" spans="1:2" x14ac:dyDescent="0.2">
      <c r="A73" s="85">
        <v>43791</v>
      </c>
      <c r="B73" s="26">
        <v>-332.73</v>
      </c>
    </row>
    <row r="75" spans="1:2" x14ac:dyDescent="0.2">
      <c r="A75" t="s">
        <v>574</v>
      </c>
      <c r="B75" t="s">
        <v>576</v>
      </c>
    </row>
    <row r="76" spans="1:2" x14ac:dyDescent="0.2">
      <c r="A76" s="85">
        <v>43805</v>
      </c>
      <c r="B76">
        <v>55668.88</v>
      </c>
    </row>
    <row r="77" spans="1:2" x14ac:dyDescent="0.2">
      <c r="A77" s="85">
        <v>43819</v>
      </c>
      <c r="B77">
        <v>53152.55</v>
      </c>
    </row>
    <row r="78" spans="1:2" x14ac:dyDescent="0.2">
      <c r="A78" s="85">
        <v>43833</v>
      </c>
      <c r="B78">
        <v>50636.22</v>
      </c>
    </row>
    <row r="79" spans="1:2" x14ac:dyDescent="0.2">
      <c r="A79" s="85">
        <v>43847</v>
      </c>
      <c r="B79">
        <v>48119.89</v>
      </c>
    </row>
    <row r="80" spans="1:2" x14ac:dyDescent="0.2">
      <c r="A80" s="85">
        <v>43861</v>
      </c>
      <c r="B80">
        <v>45603.56</v>
      </c>
    </row>
    <row r="81" spans="1:2" x14ac:dyDescent="0.2">
      <c r="A81" s="85">
        <v>43875</v>
      </c>
      <c r="B81">
        <v>43087.23</v>
      </c>
    </row>
    <row r="82" spans="1:2" x14ac:dyDescent="0.2">
      <c r="A82" s="85">
        <v>43889</v>
      </c>
      <c r="B82">
        <v>40570.9</v>
      </c>
    </row>
    <row r="83" spans="1:2" x14ac:dyDescent="0.2">
      <c r="A83" s="85">
        <v>43903</v>
      </c>
      <c r="B83">
        <v>38054.57</v>
      </c>
    </row>
    <row r="84" spans="1:2" x14ac:dyDescent="0.2">
      <c r="A84" s="85">
        <v>43917</v>
      </c>
      <c r="B84">
        <v>35538.239999999998</v>
      </c>
    </row>
    <row r="85" spans="1:2" x14ac:dyDescent="0.2">
      <c r="A85" s="85">
        <v>43931</v>
      </c>
      <c r="B85">
        <v>33021.910000000003</v>
      </c>
    </row>
    <row r="86" spans="1:2" x14ac:dyDescent="0.2">
      <c r="A86" s="85">
        <v>43945</v>
      </c>
      <c r="B86">
        <v>30505.58</v>
      </c>
    </row>
    <row r="87" spans="1:2" x14ac:dyDescent="0.2">
      <c r="A87" s="85">
        <v>43959</v>
      </c>
      <c r="B87">
        <v>27989.25</v>
      </c>
    </row>
    <row r="88" spans="1:2" x14ac:dyDescent="0.2">
      <c r="A88" s="85">
        <v>43973</v>
      </c>
      <c r="B88">
        <v>25472.92</v>
      </c>
    </row>
    <row r="89" spans="1:2" x14ac:dyDescent="0.2">
      <c r="A89" s="85">
        <v>43987</v>
      </c>
      <c r="B89">
        <v>22956.59</v>
      </c>
    </row>
    <row r="90" spans="1:2" x14ac:dyDescent="0.2">
      <c r="A90" s="85">
        <v>44001</v>
      </c>
      <c r="B90">
        <v>20440.259999999998</v>
      </c>
    </row>
    <row r="91" spans="1:2" x14ac:dyDescent="0.2">
      <c r="A91" s="85">
        <v>44015</v>
      </c>
      <c r="B91">
        <v>17923.93</v>
      </c>
    </row>
    <row r="92" spans="1:2" x14ac:dyDescent="0.2">
      <c r="A92" s="85">
        <v>44029</v>
      </c>
      <c r="B92">
        <v>15407.6</v>
      </c>
    </row>
    <row r="93" spans="1:2" x14ac:dyDescent="0.2">
      <c r="A93" s="85">
        <v>44043</v>
      </c>
      <c r="B93">
        <v>12891.27</v>
      </c>
    </row>
    <row r="94" spans="1:2" x14ac:dyDescent="0.2">
      <c r="A94" s="85">
        <v>44057</v>
      </c>
      <c r="B94">
        <v>10374.94</v>
      </c>
    </row>
    <row r="95" spans="1:2" x14ac:dyDescent="0.2">
      <c r="A95" s="85">
        <v>44071</v>
      </c>
      <c r="B95">
        <v>7858.61</v>
      </c>
    </row>
    <row r="96" spans="1:2" x14ac:dyDescent="0.2">
      <c r="A96" s="85">
        <v>44085</v>
      </c>
      <c r="B96">
        <v>5342.28</v>
      </c>
    </row>
    <row r="97" spans="1:2" x14ac:dyDescent="0.2">
      <c r="A97" s="85">
        <v>44099</v>
      </c>
      <c r="B97">
        <v>2825.95</v>
      </c>
    </row>
    <row r="98" spans="1:2" x14ac:dyDescent="0.2">
      <c r="A98" s="85">
        <v>44113</v>
      </c>
      <c r="B98">
        <v>309.62</v>
      </c>
    </row>
    <row r="99" spans="1:2" x14ac:dyDescent="0.2">
      <c r="A99" s="85">
        <v>44127</v>
      </c>
      <c r="B99">
        <v>-2206.71</v>
      </c>
    </row>
  </sheetData>
  <dataValidations count="1">
    <dataValidation type="list" allowBlank="1" showInputMessage="1" showErrorMessage="1" sqref="C47:C53 C56:C63 C34:C44" xr:uid="{00000000-0002-0000-0D00-000000000000}">
      <formula1>$A$64:$A$65</formula1>
    </dataValidation>
  </dataValidation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00"/>
  <sheetViews>
    <sheetView topLeftCell="A7" workbookViewId="0">
      <selection activeCell="A33" sqref="A33:C37"/>
    </sheetView>
  </sheetViews>
  <sheetFormatPr baseColWidth="10" defaultColWidth="8.83203125" defaultRowHeight="15" x14ac:dyDescent="0.2"/>
  <cols>
    <col min="1" max="1" width="55.33203125" bestFit="1" customWidth="1"/>
    <col min="2" max="2" width="18.6640625" bestFit="1" customWidth="1"/>
    <col min="3" max="3" width="20.5" bestFit="1" customWidth="1"/>
    <col min="4" max="4" width="16.5" bestFit="1" customWidth="1"/>
    <col min="5" max="5" width="10.6640625" customWidth="1"/>
    <col min="6" max="6" width="30.6640625" bestFit="1" customWidth="1"/>
    <col min="7" max="7" width="29.6640625" bestFit="1" customWidth="1"/>
    <col min="8" max="8" width="15.3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580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3268.89</v>
      </c>
      <c r="C3" s="51">
        <v>3268.89</v>
      </c>
      <c r="H3" s="26"/>
    </row>
    <row r="4" spans="1:11" x14ac:dyDescent="0.2">
      <c r="A4" s="26" t="s">
        <v>265</v>
      </c>
      <c r="B4">
        <v>1306.22</v>
      </c>
      <c r="C4">
        <v>1306.22</v>
      </c>
      <c r="H4" s="26"/>
      <c r="J4" s="90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4575.1099999999997</v>
      </c>
      <c r="G8" s="27">
        <f>C9+C10+C11+C12+C13+C14+C15+C16+C17+C18+C19+C20+C21</f>
        <v>4158.1499999999996</v>
      </c>
      <c r="H8" s="27">
        <f>F8-G8</f>
        <v>416.96000000000004</v>
      </c>
    </row>
    <row r="9" spans="1:11" s="24" customFormat="1" x14ac:dyDescent="0.2">
      <c r="A9" s="20" t="s">
        <v>293</v>
      </c>
      <c r="B9" s="20" t="s">
        <v>389</v>
      </c>
      <c r="C9" s="20">
        <v>1578.38</v>
      </c>
      <c r="D9" s="26"/>
      <c r="F9" s="31"/>
      <c r="G9" s="31"/>
      <c r="H9" s="67"/>
      <c r="I9" s="26"/>
    </row>
    <row r="10" spans="1:11" s="24" customFormat="1" x14ac:dyDescent="0.2">
      <c r="A10" s="20" t="s">
        <v>525</v>
      </c>
      <c r="B10" s="20" t="s">
        <v>389</v>
      </c>
      <c r="C10" s="20">
        <v>38.049999999999997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316</v>
      </c>
      <c r="B11" s="20" t="s">
        <v>403</v>
      </c>
      <c r="C11" s="21">
        <v>570.91999999999996</v>
      </c>
      <c r="D11" s="26"/>
      <c r="F11" s="33">
        <f>B3+B4</f>
        <v>4575.1099999999997</v>
      </c>
      <c r="G11" s="27">
        <f>C24+C25+C26+C27+C28+C29+C30</f>
        <v>965.93999999999994</v>
      </c>
      <c r="H11" s="27">
        <f>F11-G11</f>
        <v>3609.1699999999996</v>
      </c>
      <c r="I11" s="26"/>
    </row>
    <row r="12" spans="1:11" s="24" customFormat="1" x14ac:dyDescent="0.2">
      <c r="A12" s="20" t="s">
        <v>311</v>
      </c>
      <c r="B12" s="20" t="s">
        <v>394</v>
      </c>
      <c r="C12" s="21">
        <v>32.1</v>
      </c>
      <c r="D12" s="26"/>
      <c r="F12" s="31"/>
      <c r="G12" s="31"/>
      <c r="H12" s="31"/>
      <c r="I12" s="26"/>
      <c r="J12" s="51"/>
    </row>
    <row r="13" spans="1:11" s="24" customFormat="1" x14ac:dyDescent="0.2">
      <c r="A13" s="20" t="s">
        <v>536</v>
      </c>
      <c r="B13" s="20" t="s">
        <v>402</v>
      </c>
      <c r="C13" s="21">
        <v>411.14</v>
      </c>
      <c r="D13" s="26"/>
      <c r="F13" s="31"/>
      <c r="G13" s="31"/>
      <c r="H13" s="31"/>
      <c r="I13" s="26"/>
      <c r="J13"/>
    </row>
    <row r="14" spans="1:11" s="24" customFormat="1" x14ac:dyDescent="0.2">
      <c r="A14" s="20" t="s">
        <v>517</v>
      </c>
      <c r="B14" s="20" t="s">
        <v>403</v>
      </c>
      <c r="C14" s="21">
        <v>150</v>
      </c>
      <c r="D14" s="26"/>
      <c r="F14" s="31"/>
      <c r="G14" s="31"/>
      <c r="H14" s="31"/>
      <c r="I14" s="26"/>
      <c r="J14" s="26"/>
      <c r="K14" s="26"/>
    </row>
    <row r="15" spans="1:11" s="24" customFormat="1" x14ac:dyDescent="0.2">
      <c r="A15" s="20" t="s">
        <v>76</v>
      </c>
      <c r="B15" s="20" t="s">
        <v>402</v>
      </c>
      <c r="C15" s="21">
        <v>14.99</v>
      </c>
      <c r="D15" s="26"/>
      <c r="F15" s="31"/>
      <c r="G15" s="31"/>
      <c r="H15" s="31"/>
      <c r="I15" s="26"/>
      <c r="J15" s="26"/>
      <c r="K15" s="26"/>
    </row>
    <row r="16" spans="1:11" s="24" customFormat="1" x14ac:dyDescent="0.2">
      <c r="A16" s="20" t="s">
        <v>521</v>
      </c>
      <c r="B16" s="20" t="s">
        <v>518</v>
      </c>
      <c r="C16" s="21">
        <v>542.02</v>
      </c>
      <c r="D16" s="26"/>
      <c r="F16" s="31"/>
      <c r="G16" s="31"/>
      <c r="H16" s="31"/>
    </row>
    <row r="17" spans="1:9" s="24" customFormat="1" x14ac:dyDescent="0.2">
      <c r="A17" s="20" t="s">
        <v>582</v>
      </c>
      <c r="B17" s="20" t="s">
        <v>401</v>
      </c>
      <c r="C17" s="21">
        <v>100</v>
      </c>
      <c r="D17" s="26"/>
      <c r="F17" s="31"/>
      <c r="G17" s="31"/>
      <c r="H17" s="31"/>
    </row>
    <row r="18" spans="1:9" s="24" customFormat="1" x14ac:dyDescent="0.2">
      <c r="A18" s="20" t="s">
        <v>471</v>
      </c>
      <c r="B18" s="20" t="s">
        <v>401</v>
      </c>
      <c r="C18" s="21">
        <v>153.66</v>
      </c>
      <c r="D18" s="26"/>
      <c r="F18" s="31"/>
      <c r="G18" s="31"/>
      <c r="H18" s="31"/>
    </row>
    <row r="19" spans="1:9" s="24" customFormat="1" x14ac:dyDescent="0.2">
      <c r="A19" s="20" t="s">
        <v>526</v>
      </c>
      <c r="B19" s="20" t="s">
        <v>391</v>
      </c>
      <c r="C19" s="55">
        <v>44.27</v>
      </c>
      <c r="D19" s="26"/>
      <c r="F19" s="31"/>
      <c r="G19" s="31"/>
      <c r="H19" s="31"/>
    </row>
    <row r="20" spans="1:9" s="24" customFormat="1" x14ac:dyDescent="0.2">
      <c r="A20" s="20" t="s">
        <v>520</v>
      </c>
      <c r="B20" s="20" t="s">
        <v>400</v>
      </c>
      <c r="C20" s="21">
        <v>299.61</v>
      </c>
      <c r="F20" s="31"/>
      <c r="G20" s="31"/>
      <c r="H20" s="31"/>
    </row>
    <row r="21" spans="1:9" s="24" customFormat="1" x14ac:dyDescent="0.2">
      <c r="A21" s="20" t="s">
        <v>470</v>
      </c>
      <c r="B21" s="20" t="s">
        <v>400</v>
      </c>
      <c r="C21" s="21">
        <v>223.01</v>
      </c>
      <c r="D21" s="26"/>
      <c r="F21" s="31"/>
      <c r="G21" s="31"/>
      <c r="H21" s="31"/>
      <c r="I21" s="26"/>
    </row>
    <row r="22" spans="1:9" s="24" customFormat="1" x14ac:dyDescent="0.2">
      <c r="A22" s="29"/>
      <c r="B22" s="29"/>
      <c r="C22" s="30"/>
      <c r="D22" s="26"/>
      <c r="F22" s="31"/>
      <c r="G22" s="31"/>
      <c r="H22" s="31"/>
      <c r="I22" s="26"/>
    </row>
    <row r="23" spans="1:9" s="24" customFormat="1" x14ac:dyDescent="0.2">
      <c r="A23" s="32" t="s">
        <v>13</v>
      </c>
      <c r="B23" s="25"/>
      <c r="C23" s="27"/>
      <c r="D23" s="26"/>
      <c r="F23" s="31"/>
      <c r="G23" s="31"/>
      <c r="H23" s="31"/>
      <c r="I23" s="26"/>
    </row>
    <row r="24" spans="1:9" s="24" customFormat="1" x14ac:dyDescent="0.2">
      <c r="A24" s="20" t="s">
        <v>267</v>
      </c>
      <c r="B24" s="20" t="s">
        <v>404</v>
      </c>
      <c r="C24" s="55">
        <v>33.4</v>
      </c>
      <c r="D24" s="26"/>
      <c r="F24" s="31"/>
      <c r="G24" s="31"/>
      <c r="H24" s="31"/>
      <c r="I24" s="26"/>
    </row>
    <row r="25" spans="1:9" s="24" customFormat="1" x14ac:dyDescent="0.2">
      <c r="A25" s="20" t="s">
        <v>438</v>
      </c>
      <c r="B25" s="20" t="s">
        <v>405</v>
      </c>
      <c r="C25" s="21">
        <v>86.5</v>
      </c>
      <c r="D25" s="26"/>
      <c r="F25" s="31"/>
      <c r="G25" s="31"/>
      <c r="H25" s="31"/>
      <c r="I25" s="26"/>
    </row>
    <row r="26" spans="1:9" s="24" customFormat="1" x14ac:dyDescent="0.2">
      <c r="A26" s="20" t="s">
        <v>561</v>
      </c>
      <c r="B26" s="20" t="s">
        <v>562</v>
      </c>
      <c r="C26" s="21">
        <v>68</v>
      </c>
      <c r="D26" s="26"/>
      <c r="F26" s="31"/>
      <c r="G26" s="31"/>
      <c r="H26" s="31"/>
      <c r="I26" s="26"/>
    </row>
    <row r="27" spans="1:9" s="24" customFormat="1" x14ac:dyDescent="0.2">
      <c r="A27" s="20" t="s">
        <v>581</v>
      </c>
      <c r="B27" s="20" t="s">
        <v>562</v>
      </c>
      <c r="C27" s="21">
        <v>100</v>
      </c>
      <c r="D27" s="26"/>
      <c r="F27" s="31"/>
      <c r="G27" s="31"/>
      <c r="H27" s="31"/>
      <c r="I27" s="26"/>
    </row>
    <row r="28" spans="1:9" s="24" customFormat="1" x14ac:dyDescent="0.2">
      <c r="A28" s="20" t="s">
        <v>79</v>
      </c>
      <c r="B28" s="20" t="s">
        <v>390</v>
      </c>
      <c r="C28" s="21">
        <v>227</v>
      </c>
      <c r="D28" s="26"/>
      <c r="F28" s="31"/>
      <c r="G28" s="31"/>
      <c r="H28" s="31"/>
      <c r="I28" s="26"/>
    </row>
    <row r="29" spans="1:9" s="24" customFormat="1" x14ac:dyDescent="0.2">
      <c r="A29" s="20" t="s">
        <v>302</v>
      </c>
      <c r="B29" s="20" t="s">
        <v>388</v>
      </c>
      <c r="C29" s="21">
        <v>224</v>
      </c>
      <c r="D29" s="26"/>
      <c r="F29" s="31"/>
      <c r="G29" s="31"/>
      <c r="H29" s="31"/>
      <c r="I29" s="26"/>
    </row>
    <row r="30" spans="1:9" s="24" customFormat="1" x14ac:dyDescent="0.2">
      <c r="A30" s="20" t="s">
        <v>60</v>
      </c>
      <c r="B30" s="20" t="s">
        <v>395</v>
      </c>
      <c r="C30" s="21">
        <v>227.04</v>
      </c>
      <c r="D30" s="26"/>
      <c r="F30" s="31"/>
      <c r="G30" s="31"/>
      <c r="H30" s="31"/>
      <c r="I30" s="26"/>
    </row>
    <row r="31" spans="1:9" s="24" customFormat="1" x14ac:dyDescent="0.2">
      <c r="A31" s="14"/>
      <c r="B31" s="14"/>
      <c r="C31" s="14"/>
      <c r="D31" s="26"/>
      <c r="F31" s="31"/>
      <c r="G31" s="31"/>
      <c r="H31" s="31"/>
      <c r="I31" s="26"/>
    </row>
    <row r="32" spans="1:9" s="24" customFormat="1" x14ac:dyDescent="0.2">
      <c r="A32"/>
      <c r="B32"/>
      <c r="C32"/>
      <c r="D32" s="26"/>
      <c r="F32" s="31"/>
      <c r="G32" s="31"/>
      <c r="H32" s="31"/>
      <c r="I32" s="26"/>
    </row>
    <row r="33" spans="1:9" s="24" customFormat="1" x14ac:dyDescent="0.2">
      <c r="A33" s="87" t="s">
        <v>565</v>
      </c>
      <c r="B33" s="88" t="s">
        <v>568</v>
      </c>
      <c r="C33" t="s">
        <v>578</v>
      </c>
      <c r="D33" s="26"/>
      <c r="F33" s="31"/>
      <c r="G33" s="31"/>
      <c r="H33" s="31"/>
      <c r="I33" s="26"/>
    </row>
    <row r="34" spans="1:9" s="24" customFormat="1" x14ac:dyDescent="0.2">
      <c r="A34" s="85">
        <v>43371</v>
      </c>
      <c r="B34">
        <v>9621.16</v>
      </c>
      <c r="C34" s="26" t="s">
        <v>571</v>
      </c>
      <c r="D34" s="26"/>
      <c r="F34" s="26"/>
      <c r="G34" s="26"/>
      <c r="H34" s="26"/>
      <c r="I34" s="26"/>
    </row>
    <row r="35" spans="1:9" s="24" customFormat="1" x14ac:dyDescent="0.2">
      <c r="A35" s="86">
        <v>43385</v>
      </c>
      <c r="B35">
        <v>8671.16</v>
      </c>
      <c r="C35" s="26" t="s">
        <v>571</v>
      </c>
      <c r="D35" s="26"/>
      <c r="F35" s="68" t="s">
        <v>330</v>
      </c>
      <c r="G35" s="26"/>
      <c r="H35" s="26"/>
      <c r="I35" s="26"/>
    </row>
    <row r="36" spans="1:9" s="24" customFormat="1" x14ac:dyDescent="0.2">
      <c r="A36" s="86"/>
      <c r="C36" s="26"/>
      <c r="D36" s="26"/>
      <c r="F36" s="25">
        <f>(H8+H11)/2</f>
        <v>2013.0649999999998</v>
      </c>
      <c r="G36" s="26"/>
      <c r="H36" s="26"/>
      <c r="I36" s="26"/>
    </row>
    <row r="37" spans="1:9" s="24" customFormat="1" x14ac:dyDescent="0.2">
      <c r="A37" s="85">
        <v>43413</v>
      </c>
      <c r="B37" s="26">
        <v>7721.16</v>
      </c>
      <c r="C37" s="26" t="s">
        <v>571</v>
      </c>
      <c r="D37" s="26"/>
      <c r="F37" s="26"/>
      <c r="G37" s="26"/>
      <c r="H37" s="26"/>
      <c r="I37" s="26"/>
    </row>
    <row r="38" spans="1:9" s="26" customFormat="1" x14ac:dyDescent="0.2">
      <c r="A38" s="85">
        <v>43427</v>
      </c>
      <c r="B38" s="26">
        <v>6771.16</v>
      </c>
      <c r="F38" s="24"/>
      <c r="G38" s="24"/>
      <c r="H38" s="71"/>
    </row>
    <row r="39" spans="1:9" s="26" customFormat="1" x14ac:dyDescent="0.2">
      <c r="A39" s="85">
        <v>43441</v>
      </c>
      <c r="B39" s="26">
        <v>5821.16</v>
      </c>
      <c r="F39" s="24"/>
      <c r="G39" s="24"/>
      <c r="H39" s="71"/>
    </row>
    <row r="40" spans="1:9" s="24" customFormat="1" x14ac:dyDescent="0.2">
      <c r="A40" s="86">
        <v>43455</v>
      </c>
      <c r="B40" s="26">
        <v>4871.16</v>
      </c>
      <c r="C40" s="26"/>
      <c r="D40" s="26"/>
      <c r="F40" s="26"/>
      <c r="G40" s="26"/>
      <c r="H40" s="26"/>
    </row>
    <row r="41" spans="1:9" s="24" customFormat="1" x14ac:dyDescent="0.2">
      <c r="A41" s="86">
        <v>43469</v>
      </c>
      <c r="B41" s="26">
        <v>3921.16</v>
      </c>
      <c r="C41" s="26"/>
      <c r="D41" s="26"/>
      <c r="F41"/>
      <c r="G41" s="26"/>
      <c r="H41" s="26"/>
    </row>
    <row r="42" spans="1:9" s="26" customFormat="1" x14ac:dyDescent="0.2">
      <c r="A42" s="85">
        <v>43483</v>
      </c>
      <c r="B42" s="26">
        <v>2971.16</v>
      </c>
    </row>
    <row r="43" spans="1:9" s="26" customFormat="1" x14ac:dyDescent="0.2">
      <c r="A43" s="85">
        <v>43497</v>
      </c>
      <c r="B43" s="26">
        <v>2021.16</v>
      </c>
      <c r="H43" s="24"/>
    </row>
    <row r="44" spans="1:9" s="26" customFormat="1" x14ac:dyDescent="0.2">
      <c r="A44" s="85">
        <v>43511</v>
      </c>
      <c r="B44" s="26">
        <v>1071.1600000000001</v>
      </c>
      <c r="H44" s="24"/>
    </row>
    <row r="45" spans="1:9" s="26" customFormat="1" x14ac:dyDescent="0.2">
      <c r="A45" s="85">
        <v>43525</v>
      </c>
      <c r="B45" s="26">
        <v>121.16</v>
      </c>
    </row>
    <row r="46" spans="1:9" s="24" customFormat="1" x14ac:dyDescent="0.2">
      <c r="A46"/>
      <c r="B46" s="26"/>
      <c r="C46"/>
      <c r="D46" s="77"/>
      <c r="F46" s="26"/>
      <c r="G46" s="26"/>
      <c r="H46" s="26"/>
      <c r="I46" s="26"/>
    </row>
    <row r="47" spans="1:9" s="26" customFormat="1" ht="16" x14ac:dyDescent="0.2">
      <c r="A47" s="89" t="s">
        <v>566</v>
      </c>
      <c r="B47" s="88" t="s">
        <v>569</v>
      </c>
      <c r="C47"/>
    </row>
    <row r="48" spans="1:9" s="26" customFormat="1" x14ac:dyDescent="0.2">
      <c r="A48" s="86">
        <v>43525</v>
      </c>
      <c r="B48" s="26">
        <v>5304.92</v>
      </c>
      <c r="H48" s="24"/>
    </row>
    <row r="49" spans="1:9" s="26" customFormat="1" x14ac:dyDescent="0.2">
      <c r="A49" s="86">
        <v>43539</v>
      </c>
      <c r="B49" s="26">
        <v>4136.92</v>
      </c>
      <c r="G49" s="24"/>
      <c r="H49" s="24"/>
    </row>
    <row r="50" spans="1:9" s="24" customFormat="1" x14ac:dyDescent="0.2">
      <c r="A50" s="86">
        <v>43553</v>
      </c>
      <c r="B50" s="26">
        <v>2968.92</v>
      </c>
      <c r="C50" s="26"/>
      <c r="D50" s="26"/>
      <c r="F50" s="26"/>
      <c r="G50" s="26"/>
      <c r="I50" s="26"/>
    </row>
    <row r="51" spans="1:9" s="24" customFormat="1" x14ac:dyDescent="0.2">
      <c r="A51" s="86">
        <v>43567</v>
      </c>
      <c r="B51" s="26">
        <v>1800.92</v>
      </c>
      <c r="C51" s="26"/>
      <c r="D51" s="26"/>
      <c r="F51" s="26"/>
      <c r="G51" s="26"/>
      <c r="H51" s="26"/>
      <c r="I51" s="26"/>
    </row>
    <row r="52" spans="1:9" s="24" customFormat="1" x14ac:dyDescent="0.2">
      <c r="A52" s="86">
        <v>43581</v>
      </c>
      <c r="B52" s="26">
        <v>632.91999999999996</v>
      </c>
      <c r="C52" s="26"/>
      <c r="D52" s="26"/>
      <c r="F52" s="26"/>
      <c r="G52" s="26"/>
      <c r="H52" s="26"/>
      <c r="I52" s="26"/>
    </row>
    <row r="53" spans="1:9" s="26" customFormat="1" x14ac:dyDescent="0.2">
      <c r="A53" s="86">
        <v>43595</v>
      </c>
      <c r="B53" s="26">
        <v>-535.08000000000004</v>
      </c>
      <c r="H53"/>
    </row>
    <row r="54" spans="1:9" s="26" customFormat="1" x14ac:dyDescent="0.2">
      <c r="H54"/>
      <c r="I54"/>
    </row>
    <row r="55" spans="1:9" x14ac:dyDescent="0.2">
      <c r="A55" s="87" t="s">
        <v>567</v>
      </c>
      <c r="B55" s="88" t="s">
        <v>570</v>
      </c>
      <c r="F55" s="26"/>
      <c r="G55" s="26"/>
      <c r="H55" s="26"/>
    </row>
    <row r="56" spans="1:9" x14ac:dyDescent="0.2">
      <c r="A56" s="86">
        <v>43609</v>
      </c>
      <c r="B56" s="26">
        <v>10129.68</v>
      </c>
      <c r="G56" s="26"/>
      <c r="H56" s="26"/>
    </row>
    <row r="57" spans="1:9" s="26" customFormat="1" x14ac:dyDescent="0.2">
      <c r="A57" s="86">
        <v>43623</v>
      </c>
      <c r="B57" s="26">
        <v>8550.68</v>
      </c>
      <c r="F57"/>
      <c r="H57"/>
      <c r="I57"/>
    </row>
    <row r="58" spans="1:9" s="26" customFormat="1" x14ac:dyDescent="0.2">
      <c r="A58" s="86">
        <v>43637</v>
      </c>
      <c r="B58" s="26">
        <v>6971.68</v>
      </c>
      <c r="G58"/>
      <c r="H58"/>
      <c r="I58"/>
    </row>
    <row r="59" spans="1:9" x14ac:dyDescent="0.2">
      <c r="A59" s="86">
        <v>43651</v>
      </c>
      <c r="B59" s="26">
        <v>5392.68</v>
      </c>
      <c r="C59" s="26"/>
      <c r="F59" s="26"/>
    </row>
    <row r="60" spans="1:9" x14ac:dyDescent="0.2">
      <c r="A60" s="86">
        <v>43665</v>
      </c>
      <c r="B60" s="26">
        <v>3813.68</v>
      </c>
      <c r="C60" s="26"/>
    </row>
    <row r="61" spans="1:9" x14ac:dyDescent="0.2">
      <c r="A61" s="86">
        <v>43679</v>
      </c>
      <c r="B61" s="26">
        <v>2234.69</v>
      </c>
      <c r="C61" s="26"/>
    </row>
    <row r="62" spans="1:9" x14ac:dyDescent="0.2">
      <c r="A62" s="86">
        <v>43693</v>
      </c>
      <c r="B62" s="26">
        <v>655.68</v>
      </c>
      <c r="C62" s="26"/>
    </row>
    <row r="63" spans="1:9" x14ac:dyDescent="0.2">
      <c r="A63" s="86">
        <v>43707</v>
      </c>
      <c r="B63">
        <v>-923.32</v>
      </c>
      <c r="C63" s="26"/>
    </row>
    <row r="64" spans="1:9" x14ac:dyDescent="0.2">
      <c r="A64" s="26"/>
      <c r="B64" s="26"/>
      <c r="C64" s="26"/>
    </row>
    <row r="65" spans="1:2" x14ac:dyDescent="0.2">
      <c r="A65" s="26" t="s">
        <v>571</v>
      </c>
      <c r="B65" s="26"/>
    </row>
    <row r="66" spans="1:2" x14ac:dyDescent="0.2">
      <c r="A66" s="26" t="s">
        <v>572</v>
      </c>
      <c r="B66" s="26"/>
    </row>
    <row r="67" spans="1:2" x14ac:dyDescent="0.2">
      <c r="A67" s="26"/>
      <c r="B67" s="26"/>
    </row>
    <row r="68" spans="1:2" x14ac:dyDescent="0.2">
      <c r="A68" s="26" t="s">
        <v>573</v>
      </c>
      <c r="B68" s="26" t="s">
        <v>579</v>
      </c>
    </row>
    <row r="69" spans="1:2" x14ac:dyDescent="0.2">
      <c r="A69" s="86">
        <v>43721</v>
      </c>
      <c r="B69" s="26">
        <v>9538.82</v>
      </c>
    </row>
    <row r="70" spans="1:2" x14ac:dyDescent="0.2">
      <c r="A70" s="85">
        <v>43735</v>
      </c>
      <c r="B70">
        <v>7564.51</v>
      </c>
    </row>
    <row r="71" spans="1:2" x14ac:dyDescent="0.2">
      <c r="A71" s="85">
        <v>43749</v>
      </c>
      <c r="B71" s="26">
        <v>5590.2</v>
      </c>
    </row>
    <row r="72" spans="1:2" x14ac:dyDescent="0.2">
      <c r="A72" s="85">
        <v>43763</v>
      </c>
      <c r="B72" s="26">
        <v>3615.89</v>
      </c>
    </row>
    <row r="73" spans="1:2" x14ac:dyDescent="0.2">
      <c r="A73" s="85">
        <v>43777</v>
      </c>
      <c r="B73" s="26">
        <v>1641.58</v>
      </c>
    </row>
    <row r="74" spans="1:2" x14ac:dyDescent="0.2">
      <c r="A74" s="85">
        <v>43791</v>
      </c>
      <c r="B74" s="26">
        <v>-332.73</v>
      </c>
    </row>
    <row r="76" spans="1:2" x14ac:dyDescent="0.2">
      <c r="A76" t="s">
        <v>574</v>
      </c>
      <c r="B76" t="s">
        <v>576</v>
      </c>
    </row>
    <row r="77" spans="1:2" x14ac:dyDescent="0.2">
      <c r="A77" s="85">
        <v>43805</v>
      </c>
      <c r="B77">
        <v>55668.88</v>
      </c>
    </row>
    <row r="78" spans="1:2" x14ac:dyDescent="0.2">
      <c r="A78" s="85">
        <v>43819</v>
      </c>
      <c r="B78">
        <v>53152.55</v>
      </c>
    </row>
    <row r="79" spans="1:2" x14ac:dyDescent="0.2">
      <c r="A79" s="85">
        <v>43833</v>
      </c>
      <c r="B79">
        <v>50636.22</v>
      </c>
    </row>
    <row r="80" spans="1:2" x14ac:dyDescent="0.2">
      <c r="A80" s="85">
        <v>43847</v>
      </c>
      <c r="B80">
        <v>48119.89</v>
      </c>
    </row>
    <row r="81" spans="1:2" x14ac:dyDescent="0.2">
      <c r="A81" s="85">
        <v>43861</v>
      </c>
      <c r="B81">
        <v>45603.56</v>
      </c>
    </row>
    <row r="82" spans="1:2" x14ac:dyDescent="0.2">
      <c r="A82" s="85">
        <v>43875</v>
      </c>
      <c r="B82">
        <v>43087.23</v>
      </c>
    </row>
    <row r="83" spans="1:2" x14ac:dyDescent="0.2">
      <c r="A83" s="85">
        <v>43889</v>
      </c>
      <c r="B83">
        <v>40570.9</v>
      </c>
    </row>
    <row r="84" spans="1:2" x14ac:dyDescent="0.2">
      <c r="A84" s="85">
        <v>43903</v>
      </c>
      <c r="B84">
        <v>38054.57</v>
      </c>
    </row>
    <row r="85" spans="1:2" x14ac:dyDescent="0.2">
      <c r="A85" s="85">
        <v>43917</v>
      </c>
      <c r="B85">
        <v>35538.239999999998</v>
      </c>
    </row>
    <row r="86" spans="1:2" x14ac:dyDescent="0.2">
      <c r="A86" s="85">
        <v>43931</v>
      </c>
      <c r="B86">
        <v>33021.910000000003</v>
      </c>
    </row>
    <row r="87" spans="1:2" x14ac:dyDescent="0.2">
      <c r="A87" s="85">
        <v>43945</v>
      </c>
      <c r="B87">
        <v>30505.58</v>
      </c>
    </row>
    <row r="88" spans="1:2" x14ac:dyDescent="0.2">
      <c r="A88" s="85">
        <v>43959</v>
      </c>
      <c r="B88">
        <v>27989.25</v>
      </c>
    </row>
    <row r="89" spans="1:2" x14ac:dyDescent="0.2">
      <c r="A89" s="85">
        <v>43973</v>
      </c>
      <c r="B89">
        <v>25472.92</v>
      </c>
    </row>
    <row r="90" spans="1:2" x14ac:dyDescent="0.2">
      <c r="A90" s="85">
        <v>43987</v>
      </c>
      <c r="B90">
        <v>22956.59</v>
      </c>
    </row>
    <row r="91" spans="1:2" x14ac:dyDescent="0.2">
      <c r="A91" s="85">
        <v>44001</v>
      </c>
      <c r="B91">
        <v>20440.259999999998</v>
      </c>
    </row>
    <row r="92" spans="1:2" x14ac:dyDescent="0.2">
      <c r="A92" s="85">
        <v>44015</v>
      </c>
      <c r="B92">
        <v>17923.93</v>
      </c>
    </row>
    <row r="93" spans="1:2" x14ac:dyDescent="0.2">
      <c r="A93" s="85">
        <v>44029</v>
      </c>
      <c r="B93">
        <v>15407.6</v>
      </c>
    </row>
    <row r="94" spans="1:2" x14ac:dyDescent="0.2">
      <c r="A94" s="85">
        <v>44043</v>
      </c>
      <c r="B94">
        <v>12891.27</v>
      </c>
    </row>
    <row r="95" spans="1:2" x14ac:dyDescent="0.2">
      <c r="A95" s="85">
        <v>44057</v>
      </c>
      <c r="B95">
        <v>10374.94</v>
      </c>
    </row>
    <row r="96" spans="1:2" x14ac:dyDescent="0.2">
      <c r="A96" s="85">
        <v>44071</v>
      </c>
      <c r="B96">
        <v>7858.61</v>
      </c>
    </row>
    <row r="97" spans="1:2" x14ac:dyDescent="0.2">
      <c r="A97" s="85">
        <v>44085</v>
      </c>
      <c r="B97">
        <v>5342.28</v>
      </c>
    </row>
    <row r="98" spans="1:2" x14ac:dyDescent="0.2">
      <c r="A98" s="85">
        <v>44099</v>
      </c>
      <c r="B98">
        <v>2825.95</v>
      </c>
    </row>
    <row r="99" spans="1:2" x14ac:dyDescent="0.2">
      <c r="A99" s="85">
        <v>44113</v>
      </c>
      <c r="B99">
        <v>309.62</v>
      </c>
    </row>
    <row r="100" spans="1:2" x14ac:dyDescent="0.2">
      <c r="A100" s="85">
        <v>44127</v>
      </c>
      <c r="B100">
        <v>-2206.71</v>
      </c>
    </row>
  </sheetData>
  <dataValidations count="1">
    <dataValidation type="list" allowBlank="1" showInputMessage="1" showErrorMessage="1" sqref="C34:C45 C48:C54 C57:C64" xr:uid="{00000000-0002-0000-0E00-000000000000}">
      <formula1>$A$65:$A$66</formula1>
    </dataValidation>
  </dataValidation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98"/>
  <sheetViews>
    <sheetView workbookViewId="0">
      <selection activeCell="A28" sqref="A28:C28"/>
    </sheetView>
  </sheetViews>
  <sheetFormatPr baseColWidth="10" defaultColWidth="8.83203125" defaultRowHeight="15" x14ac:dyDescent="0.2"/>
  <cols>
    <col min="1" max="1" width="55.33203125" bestFit="1" customWidth="1"/>
    <col min="2" max="2" width="18.6640625" bestFit="1" customWidth="1"/>
    <col min="3" max="3" width="20.5" bestFit="1" customWidth="1"/>
    <col min="4" max="4" width="16.5" bestFit="1" customWidth="1"/>
    <col min="5" max="5" width="10.6640625" customWidth="1"/>
    <col min="6" max="6" width="30.6640625" bestFit="1" customWidth="1"/>
    <col min="7" max="7" width="29.6640625" bestFit="1" customWidth="1"/>
    <col min="8" max="8" width="15.3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577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3268.87</v>
      </c>
      <c r="C3" s="51">
        <v>3268.87</v>
      </c>
      <c r="H3" s="26"/>
    </row>
    <row r="4" spans="1:11" x14ac:dyDescent="0.2">
      <c r="A4" s="26" t="s">
        <v>265</v>
      </c>
      <c r="B4">
        <v>1300.72</v>
      </c>
      <c r="C4">
        <v>1300.72</v>
      </c>
      <c r="H4" s="26"/>
      <c r="J4" s="90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4569.59</v>
      </c>
      <c r="G8" s="27">
        <f>C9+C10+C11+C12+C13+C14+C15+C16+C17+C18+C19+C20</f>
        <v>4058.1499999999996</v>
      </c>
      <c r="H8" s="27">
        <f>F8-G8</f>
        <v>511.44000000000051</v>
      </c>
    </row>
    <row r="9" spans="1:11" s="24" customFormat="1" x14ac:dyDescent="0.2">
      <c r="A9" s="20" t="s">
        <v>293</v>
      </c>
      <c r="B9" s="20" t="s">
        <v>389</v>
      </c>
      <c r="C9" s="20">
        <v>1578.38</v>
      </c>
      <c r="D9" s="26"/>
      <c r="F9" s="31"/>
      <c r="G9" s="31"/>
      <c r="H9" s="67"/>
      <c r="I9" s="26"/>
    </row>
    <row r="10" spans="1:11" s="24" customFormat="1" x14ac:dyDescent="0.2">
      <c r="A10" s="20" t="s">
        <v>525</v>
      </c>
      <c r="B10" s="20" t="s">
        <v>389</v>
      </c>
      <c r="C10" s="20">
        <v>38.049999999999997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316</v>
      </c>
      <c r="B11" s="20" t="s">
        <v>403</v>
      </c>
      <c r="C11" s="21">
        <v>570.91999999999996</v>
      </c>
      <c r="D11" s="26"/>
      <c r="F11" s="33">
        <f>B3+B4</f>
        <v>4569.59</v>
      </c>
      <c r="G11" s="27">
        <f>C23+C24+C25+C26+C27+C28</f>
        <v>873.93999999999994</v>
      </c>
      <c r="H11" s="27">
        <f>F11-G11</f>
        <v>3695.65</v>
      </c>
      <c r="I11" s="26"/>
    </row>
    <row r="12" spans="1:11" s="24" customFormat="1" x14ac:dyDescent="0.2">
      <c r="A12" s="20" t="s">
        <v>311</v>
      </c>
      <c r="B12" s="20" t="s">
        <v>394</v>
      </c>
      <c r="C12" s="21">
        <v>32.1</v>
      </c>
      <c r="D12" s="26"/>
      <c r="F12" s="31"/>
      <c r="G12" s="31"/>
      <c r="H12" s="31"/>
      <c r="I12" s="26"/>
      <c r="J12" s="51"/>
    </row>
    <row r="13" spans="1:11" s="24" customFormat="1" x14ac:dyDescent="0.2">
      <c r="A13" s="20" t="s">
        <v>536</v>
      </c>
      <c r="B13" s="20" t="s">
        <v>402</v>
      </c>
      <c r="C13" s="21">
        <v>411.14</v>
      </c>
      <c r="D13" s="26"/>
      <c r="F13" s="31"/>
      <c r="G13" s="31"/>
      <c r="H13" s="31"/>
      <c r="I13" s="26"/>
      <c r="J13"/>
    </row>
    <row r="14" spans="1:11" s="24" customFormat="1" x14ac:dyDescent="0.2">
      <c r="A14" s="20" t="s">
        <v>517</v>
      </c>
      <c r="B14" s="20" t="s">
        <v>403</v>
      </c>
      <c r="C14" s="21">
        <v>150</v>
      </c>
      <c r="D14" s="26"/>
      <c r="F14" s="31"/>
      <c r="G14" s="31"/>
      <c r="H14" s="31"/>
      <c r="I14" s="26"/>
      <c r="J14" s="26"/>
      <c r="K14" s="26"/>
    </row>
    <row r="15" spans="1:11" s="24" customFormat="1" x14ac:dyDescent="0.2">
      <c r="A15" s="20" t="s">
        <v>76</v>
      </c>
      <c r="B15" s="20" t="s">
        <v>402</v>
      </c>
      <c r="C15" s="21">
        <v>14.99</v>
      </c>
      <c r="D15" s="26"/>
      <c r="F15" s="31"/>
      <c r="G15" s="31"/>
      <c r="H15" s="31"/>
      <c r="I15" s="26"/>
      <c r="J15" s="26"/>
      <c r="K15" s="26"/>
    </row>
    <row r="16" spans="1:11" s="24" customFormat="1" x14ac:dyDescent="0.2">
      <c r="A16" s="20" t="s">
        <v>521</v>
      </c>
      <c r="B16" s="20" t="s">
        <v>518</v>
      </c>
      <c r="C16" s="21">
        <v>542.02</v>
      </c>
      <c r="D16" s="26"/>
      <c r="F16" s="31"/>
      <c r="G16" s="31"/>
      <c r="H16" s="31"/>
    </row>
    <row r="17" spans="1:9" s="24" customFormat="1" x14ac:dyDescent="0.2">
      <c r="A17" s="20" t="s">
        <v>471</v>
      </c>
      <c r="B17" s="20" t="s">
        <v>401</v>
      </c>
      <c r="C17" s="21">
        <v>153.66</v>
      </c>
      <c r="D17" s="26"/>
      <c r="F17" s="31"/>
      <c r="G17" s="31"/>
      <c r="H17" s="31"/>
    </row>
    <row r="18" spans="1:9" s="24" customFormat="1" x14ac:dyDescent="0.2">
      <c r="A18" s="20" t="s">
        <v>526</v>
      </c>
      <c r="B18" s="20" t="s">
        <v>391</v>
      </c>
      <c r="C18" s="55">
        <v>44.27</v>
      </c>
      <c r="D18" s="26"/>
      <c r="F18" s="31"/>
      <c r="G18" s="31"/>
      <c r="H18" s="31"/>
    </row>
    <row r="19" spans="1:9" s="24" customFormat="1" x14ac:dyDescent="0.2">
      <c r="A19" s="20" t="s">
        <v>520</v>
      </c>
      <c r="B19" s="20" t="s">
        <v>400</v>
      </c>
      <c r="C19" s="21">
        <v>299.61</v>
      </c>
      <c r="F19" s="31"/>
      <c r="G19" s="31"/>
      <c r="H19" s="31"/>
    </row>
    <row r="20" spans="1:9" s="24" customFormat="1" x14ac:dyDescent="0.2">
      <c r="A20" s="20" t="s">
        <v>470</v>
      </c>
      <c r="B20" s="20" t="s">
        <v>400</v>
      </c>
      <c r="C20" s="21">
        <v>223.01</v>
      </c>
      <c r="D20" s="26"/>
      <c r="F20" s="31"/>
      <c r="G20" s="31"/>
      <c r="H20" s="31"/>
      <c r="I20" s="26"/>
    </row>
    <row r="21" spans="1:9" s="24" customFormat="1" x14ac:dyDescent="0.2">
      <c r="A21" s="29"/>
      <c r="B21" s="29"/>
      <c r="C21" s="30"/>
      <c r="D21" s="26"/>
      <c r="F21" s="31"/>
      <c r="G21" s="31"/>
      <c r="H21" s="31"/>
      <c r="I21" s="26"/>
    </row>
    <row r="22" spans="1:9" s="24" customFormat="1" x14ac:dyDescent="0.2">
      <c r="A22" s="32" t="s">
        <v>13</v>
      </c>
      <c r="B22" s="25"/>
      <c r="C22" s="27"/>
      <c r="D22" s="26"/>
      <c r="F22" s="31"/>
      <c r="G22" s="31"/>
      <c r="H22" s="31"/>
      <c r="I22" s="26"/>
    </row>
    <row r="23" spans="1:9" s="24" customFormat="1" x14ac:dyDescent="0.2">
      <c r="A23" s="20" t="s">
        <v>267</v>
      </c>
      <c r="B23" s="20" t="s">
        <v>404</v>
      </c>
      <c r="C23" s="55">
        <v>33.4</v>
      </c>
      <c r="D23" s="26"/>
      <c r="F23" s="31"/>
      <c r="G23" s="31"/>
      <c r="H23" s="31"/>
      <c r="I23" s="26"/>
    </row>
    <row r="24" spans="1:9" s="24" customFormat="1" x14ac:dyDescent="0.2">
      <c r="A24" s="20" t="s">
        <v>438</v>
      </c>
      <c r="B24" s="20" t="s">
        <v>405</v>
      </c>
      <c r="C24" s="21">
        <v>86.5</v>
      </c>
      <c r="D24" s="26"/>
      <c r="F24" s="31"/>
      <c r="G24" s="31"/>
      <c r="H24" s="31"/>
      <c r="I24" s="26"/>
    </row>
    <row r="25" spans="1:9" s="24" customFormat="1" x14ac:dyDescent="0.2">
      <c r="A25" s="20" t="s">
        <v>561</v>
      </c>
      <c r="B25" s="20" t="s">
        <v>562</v>
      </c>
      <c r="C25" s="21">
        <v>68</v>
      </c>
      <c r="D25" s="26"/>
      <c r="F25" s="31"/>
      <c r="G25" s="31"/>
      <c r="H25" s="31"/>
      <c r="I25" s="26"/>
    </row>
    <row r="26" spans="1:9" s="24" customFormat="1" x14ac:dyDescent="0.2">
      <c r="A26" s="20" t="s">
        <v>79</v>
      </c>
      <c r="B26" s="20" t="s">
        <v>390</v>
      </c>
      <c r="C26" s="21">
        <v>227</v>
      </c>
      <c r="D26" s="26"/>
      <c r="F26" s="31"/>
      <c r="G26" s="31"/>
      <c r="H26" s="31"/>
      <c r="I26" s="26"/>
    </row>
    <row r="27" spans="1:9" s="24" customFormat="1" x14ac:dyDescent="0.2">
      <c r="A27" s="20" t="s">
        <v>302</v>
      </c>
      <c r="B27" s="20" t="s">
        <v>388</v>
      </c>
      <c r="C27" s="21">
        <v>232</v>
      </c>
      <c r="D27" s="26"/>
      <c r="F27" s="31"/>
      <c r="G27" s="31"/>
      <c r="H27" s="31"/>
      <c r="I27" s="26"/>
    </row>
    <row r="28" spans="1:9" s="24" customFormat="1" x14ac:dyDescent="0.2">
      <c r="A28" s="20" t="s">
        <v>60</v>
      </c>
      <c r="B28" s="20" t="s">
        <v>395</v>
      </c>
      <c r="C28" s="21">
        <v>227.04</v>
      </c>
      <c r="D28" s="26"/>
      <c r="F28" s="31"/>
      <c r="G28" s="31"/>
      <c r="H28" s="31"/>
      <c r="I28" s="26"/>
    </row>
    <row r="29" spans="1:9" s="24" customFormat="1" x14ac:dyDescent="0.2">
      <c r="A29" s="14"/>
      <c r="B29" s="14"/>
      <c r="C29" s="14"/>
      <c r="D29" s="26"/>
      <c r="F29" s="31"/>
      <c r="G29" s="31"/>
      <c r="H29" s="31"/>
      <c r="I29" s="26"/>
    </row>
    <row r="30" spans="1:9" s="24" customFormat="1" x14ac:dyDescent="0.2">
      <c r="A30"/>
      <c r="B30"/>
      <c r="C30"/>
      <c r="D30" s="26"/>
      <c r="F30" s="31"/>
      <c r="G30" s="31"/>
      <c r="H30" s="31"/>
      <c r="I30" s="26"/>
    </row>
    <row r="31" spans="1:9" s="24" customFormat="1" x14ac:dyDescent="0.2">
      <c r="A31" s="87" t="s">
        <v>565</v>
      </c>
      <c r="B31" s="88" t="s">
        <v>568</v>
      </c>
      <c r="C31" t="s">
        <v>578</v>
      </c>
      <c r="D31" s="26"/>
      <c r="F31" s="31"/>
      <c r="G31" s="31"/>
      <c r="H31" s="31"/>
      <c r="I31" s="26"/>
    </row>
    <row r="32" spans="1:9" s="24" customFormat="1" x14ac:dyDescent="0.2">
      <c r="A32" s="85">
        <v>43371</v>
      </c>
      <c r="B32">
        <v>9621.16</v>
      </c>
      <c r="C32" s="26" t="s">
        <v>571</v>
      </c>
      <c r="D32" s="26"/>
      <c r="F32" s="26"/>
      <c r="G32" s="26"/>
      <c r="H32" s="26"/>
      <c r="I32" s="26"/>
    </row>
    <row r="33" spans="1:9" s="24" customFormat="1" x14ac:dyDescent="0.2">
      <c r="A33" s="86">
        <v>43385</v>
      </c>
      <c r="B33">
        <v>8671.16</v>
      </c>
      <c r="C33" s="26" t="s">
        <v>571</v>
      </c>
      <c r="D33" s="26"/>
      <c r="F33" s="68" t="s">
        <v>330</v>
      </c>
      <c r="G33" s="26"/>
      <c r="H33" s="26"/>
      <c r="I33" s="26"/>
    </row>
    <row r="34" spans="1:9" s="24" customFormat="1" x14ac:dyDescent="0.2">
      <c r="A34" s="86">
        <v>43399</v>
      </c>
      <c r="B34" s="46">
        <v>7721.16</v>
      </c>
      <c r="C34" s="26"/>
      <c r="D34" s="26"/>
      <c r="F34" s="25">
        <f>(H8+H11)/2</f>
        <v>2103.5450000000001</v>
      </c>
      <c r="G34" s="26"/>
      <c r="H34" s="26"/>
      <c r="I34" s="26"/>
    </row>
    <row r="35" spans="1:9" s="24" customFormat="1" x14ac:dyDescent="0.2">
      <c r="A35" s="85">
        <v>43413</v>
      </c>
      <c r="B35">
        <v>6771.16</v>
      </c>
      <c r="C35" s="26"/>
      <c r="D35" s="26"/>
      <c r="F35" s="26"/>
      <c r="G35" s="26"/>
      <c r="H35" s="26"/>
      <c r="I35" s="26"/>
    </row>
    <row r="36" spans="1:9" s="26" customFormat="1" x14ac:dyDescent="0.2">
      <c r="A36" s="85">
        <v>43427</v>
      </c>
      <c r="B36">
        <v>5821.16</v>
      </c>
      <c r="F36" s="24"/>
      <c r="G36" s="24"/>
      <c r="H36" s="71"/>
    </row>
    <row r="37" spans="1:9" s="26" customFormat="1" x14ac:dyDescent="0.2">
      <c r="A37" s="85">
        <v>43441</v>
      </c>
      <c r="B37">
        <v>4871.16</v>
      </c>
      <c r="F37" s="24"/>
      <c r="G37" s="24"/>
      <c r="H37" s="71"/>
    </row>
    <row r="38" spans="1:9" s="24" customFormat="1" x14ac:dyDescent="0.2">
      <c r="A38" s="86">
        <v>43455</v>
      </c>
      <c r="B38">
        <v>3921.16</v>
      </c>
      <c r="C38" s="26"/>
      <c r="D38" s="26"/>
      <c r="F38" s="26"/>
      <c r="G38" s="26"/>
      <c r="H38" s="26"/>
    </row>
    <row r="39" spans="1:9" s="24" customFormat="1" x14ac:dyDescent="0.2">
      <c r="A39" s="86">
        <v>43469</v>
      </c>
      <c r="B39">
        <v>2971.16</v>
      </c>
      <c r="C39" s="26"/>
      <c r="D39" s="26"/>
      <c r="F39"/>
      <c r="G39" s="26"/>
      <c r="H39" s="26"/>
    </row>
    <row r="40" spans="1:9" s="26" customFormat="1" x14ac:dyDescent="0.2">
      <c r="A40" s="85">
        <v>43483</v>
      </c>
      <c r="B40">
        <v>2021.16</v>
      </c>
    </row>
    <row r="41" spans="1:9" s="26" customFormat="1" x14ac:dyDescent="0.2">
      <c r="A41" s="85">
        <v>43497</v>
      </c>
      <c r="B41">
        <v>1071.1600000000001</v>
      </c>
      <c r="H41" s="24"/>
    </row>
    <row r="42" spans="1:9" s="26" customFormat="1" x14ac:dyDescent="0.2">
      <c r="A42" s="85">
        <v>43511</v>
      </c>
      <c r="B42" s="26">
        <v>121.16</v>
      </c>
      <c r="H42" s="24"/>
      <c r="I42" s="24"/>
    </row>
    <row r="43" spans="1:9" s="26" customFormat="1" x14ac:dyDescent="0.2">
      <c r="A43" s="85">
        <v>43525</v>
      </c>
      <c r="B43">
        <v>-828.84</v>
      </c>
      <c r="I43" s="24"/>
    </row>
    <row r="44" spans="1:9" s="24" customFormat="1" x14ac:dyDescent="0.2">
      <c r="A44"/>
      <c r="B44" s="26"/>
      <c r="C44"/>
      <c r="D44" s="77"/>
      <c r="F44" s="26"/>
      <c r="G44" s="26"/>
      <c r="H44" s="26"/>
    </row>
    <row r="45" spans="1:9" s="26" customFormat="1" ht="16" x14ac:dyDescent="0.2">
      <c r="A45" s="89" t="s">
        <v>566</v>
      </c>
      <c r="B45" s="88" t="s">
        <v>569</v>
      </c>
      <c r="C45"/>
    </row>
    <row r="46" spans="1:9" s="26" customFormat="1" x14ac:dyDescent="0.2">
      <c r="A46" s="86">
        <v>43525</v>
      </c>
      <c r="B46" s="26">
        <v>5304.92</v>
      </c>
      <c r="H46" s="24"/>
    </row>
    <row r="47" spans="1:9" s="26" customFormat="1" x14ac:dyDescent="0.2">
      <c r="A47" s="86">
        <v>43539</v>
      </c>
      <c r="B47" s="26">
        <v>4136.92</v>
      </c>
      <c r="G47" s="24"/>
      <c r="H47" s="24"/>
    </row>
    <row r="48" spans="1:9" s="24" customFormat="1" x14ac:dyDescent="0.2">
      <c r="A48" s="86">
        <v>43553</v>
      </c>
      <c r="B48" s="26">
        <v>2968.92</v>
      </c>
      <c r="C48" s="26"/>
      <c r="D48" s="26"/>
      <c r="F48" s="26"/>
      <c r="G48" s="26"/>
      <c r="I48"/>
    </row>
    <row r="49" spans="1:9" s="24" customFormat="1" x14ac:dyDescent="0.2">
      <c r="A49" s="86">
        <v>43567</v>
      </c>
      <c r="B49" s="26">
        <v>1800.92</v>
      </c>
      <c r="C49" s="26"/>
      <c r="D49" s="26"/>
      <c r="F49" s="26"/>
      <c r="G49" s="26"/>
      <c r="H49" s="26"/>
      <c r="I49"/>
    </row>
    <row r="50" spans="1:9" s="24" customFormat="1" x14ac:dyDescent="0.2">
      <c r="A50" s="86">
        <v>43581</v>
      </c>
      <c r="B50" s="26">
        <v>632.91999999999996</v>
      </c>
      <c r="C50" s="26"/>
      <c r="D50" s="26"/>
      <c r="F50" s="26"/>
      <c r="G50" s="26"/>
      <c r="H50" s="26"/>
      <c r="I50" s="26"/>
    </row>
    <row r="51" spans="1:9" s="26" customFormat="1" x14ac:dyDescent="0.2">
      <c r="A51" s="86">
        <v>43595</v>
      </c>
      <c r="B51" s="26">
        <v>-535.08000000000004</v>
      </c>
      <c r="H51"/>
    </row>
    <row r="52" spans="1:9" s="26" customFormat="1" x14ac:dyDescent="0.2">
      <c r="H52"/>
      <c r="I52"/>
    </row>
    <row r="53" spans="1:9" x14ac:dyDescent="0.2">
      <c r="A53" s="87" t="s">
        <v>567</v>
      </c>
      <c r="B53" s="88" t="s">
        <v>570</v>
      </c>
      <c r="F53" s="26"/>
      <c r="G53" s="26"/>
      <c r="H53" s="26"/>
    </row>
    <row r="54" spans="1:9" x14ac:dyDescent="0.2">
      <c r="A54" s="86">
        <v>43609</v>
      </c>
      <c r="B54" s="26">
        <v>10129.68</v>
      </c>
      <c r="G54" s="26"/>
      <c r="H54" s="26"/>
    </row>
    <row r="55" spans="1:9" s="26" customFormat="1" x14ac:dyDescent="0.2">
      <c r="A55" s="86">
        <v>43623</v>
      </c>
      <c r="B55" s="26">
        <v>8550.68</v>
      </c>
      <c r="F55"/>
      <c r="H55"/>
      <c r="I55"/>
    </row>
    <row r="56" spans="1:9" s="26" customFormat="1" x14ac:dyDescent="0.2">
      <c r="A56" s="86">
        <v>43637</v>
      </c>
      <c r="B56" s="26">
        <v>6971.68</v>
      </c>
      <c r="G56"/>
      <c r="H56"/>
      <c r="I56"/>
    </row>
    <row r="57" spans="1:9" x14ac:dyDescent="0.2">
      <c r="A57" s="86">
        <v>43651</v>
      </c>
      <c r="B57" s="26">
        <v>5392.68</v>
      </c>
      <c r="C57" s="26"/>
      <c r="F57" s="26"/>
    </row>
    <row r="58" spans="1:9" x14ac:dyDescent="0.2">
      <c r="A58" s="86">
        <v>43665</v>
      </c>
      <c r="B58" s="26">
        <v>3813.68</v>
      </c>
      <c r="C58" s="26"/>
    </row>
    <row r="59" spans="1:9" x14ac:dyDescent="0.2">
      <c r="A59" s="86">
        <v>43679</v>
      </c>
      <c r="B59" s="26">
        <v>2234.69</v>
      </c>
      <c r="C59" s="26"/>
    </row>
    <row r="60" spans="1:9" x14ac:dyDescent="0.2">
      <c r="A60" s="86">
        <v>43693</v>
      </c>
      <c r="B60" s="26">
        <v>655.68</v>
      </c>
      <c r="C60" s="26"/>
    </row>
    <row r="61" spans="1:9" x14ac:dyDescent="0.2">
      <c r="A61" s="86">
        <v>43707</v>
      </c>
      <c r="B61">
        <v>-923.32</v>
      </c>
      <c r="C61" s="26"/>
    </row>
    <row r="62" spans="1:9" x14ac:dyDescent="0.2">
      <c r="A62" s="26"/>
      <c r="B62" s="26"/>
      <c r="C62" s="26"/>
    </row>
    <row r="63" spans="1:9" x14ac:dyDescent="0.2">
      <c r="A63" s="26" t="s">
        <v>571</v>
      </c>
      <c r="B63" s="26"/>
    </row>
    <row r="64" spans="1:9" x14ac:dyDescent="0.2">
      <c r="A64" s="26" t="s">
        <v>572</v>
      </c>
      <c r="B64" s="26"/>
    </row>
    <row r="65" spans="1:2" x14ac:dyDescent="0.2">
      <c r="A65" s="26"/>
      <c r="B65" s="26"/>
    </row>
    <row r="66" spans="1:2" x14ac:dyDescent="0.2">
      <c r="A66" s="26" t="s">
        <v>573</v>
      </c>
      <c r="B66" s="26" t="s">
        <v>579</v>
      </c>
    </row>
    <row r="67" spans="1:2" x14ac:dyDescent="0.2">
      <c r="A67" s="86">
        <v>43721</v>
      </c>
      <c r="B67" s="26">
        <v>9538.82</v>
      </c>
    </row>
    <row r="68" spans="1:2" x14ac:dyDescent="0.2">
      <c r="A68" s="85">
        <v>43735</v>
      </c>
      <c r="B68">
        <v>7564.51</v>
      </c>
    </row>
    <row r="69" spans="1:2" x14ac:dyDescent="0.2">
      <c r="A69" s="85">
        <v>43749</v>
      </c>
      <c r="B69" s="26">
        <v>5590.2</v>
      </c>
    </row>
    <row r="70" spans="1:2" x14ac:dyDescent="0.2">
      <c r="A70" s="85">
        <v>43763</v>
      </c>
      <c r="B70" s="26">
        <v>3615.89</v>
      </c>
    </row>
    <row r="71" spans="1:2" x14ac:dyDescent="0.2">
      <c r="A71" s="85">
        <v>43777</v>
      </c>
      <c r="B71" s="26">
        <v>1641.58</v>
      </c>
    </row>
    <row r="72" spans="1:2" x14ac:dyDescent="0.2">
      <c r="A72" s="85">
        <v>43791</v>
      </c>
      <c r="B72" s="26">
        <v>-332.73</v>
      </c>
    </row>
    <row r="74" spans="1:2" x14ac:dyDescent="0.2">
      <c r="A74" t="s">
        <v>574</v>
      </c>
      <c r="B74" t="s">
        <v>576</v>
      </c>
    </row>
    <row r="75" spans="1:2" x14ac:dyDescent="0.2">
      <c r="A75" s="85">
        <v>43805</v>
      </c>
      <c r="B75">
        <v>55668.88</v>
      </c>
    </row>
    <row r="76" spans="1:2" x14ac:dyDescent="0.2">
      <c r="A76" s="85">
        <v>43819</v>
      </c>
      <c r="B76">
        <v>53152.55</v>
      </c>
    </row>
    <row r="77" spans="1:2" x14ac:dyDescent="0.2">
      <c r="A77" s="85">
        <v>43833</v>
      </c>
      <c r="B77">
        <v>50636.22</v>
      </c>
    </row>
    <row r="78" spans="1:2" x14ac:dyDescent="0.2">
      <c r="A78" s="85">
        <v>43847</v>
      </c>
      <c r="B78">
        <v>48119.89</v>
      </c>
    </row>
    <row r="79" spans="1:2" x14ac:dyDescent="0.2">
      <c r="A79" s="85">
        <v>43861</v>
      </c>
      <c r="B79">
        <v>45603.56</v>
      </c>
    </row>
    <row r="80" spans="1:2" x14ac:dyDescent="0.2">
      <c r="A80" s="85">
        <v>43875</v>
      </c>
      <c r="B80">
        <v>43087.23</v>
      </c>
    </row>
    <row r="81" spans="1:2" x14ac:dyDescent="0.2">
      <c r="A81" s="85">
        <v>43889</v>
      </c>
      <c r="B81">
        <v>40570.9</v>
      </c>
    </row>
    <row r="82" spans="1:2" x14ac:dyDescent="0.2">
      <c r="A82" s="85">
        <v>43903</v>
      </c>
      <c r="B82">
        <v>38054.57</v>
      </c>
    </row>
    <row r="83" spans="1:2" x14ac:dyDescent="0.2">
      <c r="A83" s="85">
        <v>43917</v>
      </c>
      <c r="B83">
        <v>35538.239999999998</v>
      </c>
    </row>
    <row r="84" spans="1:2" x14ac:dyDescent="0.2">
      <c r="A84" s="85">
        <v>43931</v>
      </c>
      <c r="B84">
        <v>33021.910000000003</v>
      </c>
    </row>
    <row r="85" spans="1:2" x14ac:dyDescent="0.2">
      <c r="A85" s="85">
        <v>43945</v>
      </c>
      <c r="B85">
        <v>30505.58</v>
      </c>
    </row>
    <row r="86" spans="1:2" x14ac:dyDescent="0.2">
      <c r="A86" s="85">
        <v>43959</v>
      </c>
      <c r="B86">
        <v>27989.25</v>
      </c>
    </row>
    <row r="87" spans="1:2" x14ac:dyDescent="0.2">
      <c r="A87" s="85">
        <v>43973</v>
      </c>
      <c r="B87">
        <v>25472.92</v>
      </c>
    </row>
    <row r="88" spans="1:2" x14ac:dyDescent="0.2">
      <c r="A88" s="85">
        <v>43987</v>
      </c>
      <c r="B88">
        <v>22956.59</v>
      </c>
    </row>
    <row r="89" spans="1:2" x14ac:dyDescent="0.2">
      <c r="A89" s="85">
        <v>44001</v>
      </c>
      <c r="B89">
        <v>20440.259999999998</v>
      </c>
    </row>
    <row r="90" spans="1:2" x14ac:dyDescent="0.2">
      <c r="A90" s="85">
        <v>44015</v>
      </c>
      <c r="B90">
        <v>17923.93</v>
      </c>
    </row>
    <row r="91" spans="1:2" x14ac:dyDescent="0.2">
      <c r="A91" s="85">
        <v>44029</v>
      </c>
      <c r="B91">
        <v>15407.6</v>
      </c>
    </row>
    <row r="92" spans="1:2" x14ac:dyDescent="0.2">
      <c r="A92" s="85">
        <v>44043</v>
      </c>
      <c r="B92">
        <v>12891.27</v>
      </c>
    </row>
    <row r="93" spans="1:2" x14ac:dyDescent="0.2">
      <c r="A93" s="85">
        <v>44057</v>
      </c>
      <c r="B93">
        <v>10374.94</v>
      </c>
    </row>
    <row r="94" spans="1:2" x14ac:dyDescent="0.2">
      <c r="A94" s="85">
        <v>44071</v>
      </c>
      <c r="B94">
        <v>7858.61</v>
      </c>
    </row>
    <row r="95" spans="1:2" x14ac:dyDescent="0.2">
      <c r="A95" s="85">
        <v>44085</v>
      </c>
      <c r="B95">
        <v>5342.28</v>
      </c>
    </row>
    <row r="96" spans="1:2" x14ac:dyDescent="0.2">
      <c r="A96" s="85">
        <v>44099</v>
      </c>
      <c r="B96">
        <v>2825.95</v>
      </c>
    </row>
    <row r="97" spans="1:2" x14ac:dyDescent="0.2">
      <c r="A97" s="85">
        <v>44113</v>
      </c>
      <c r="B97">
        <v>309.62</v>
      </c>
    </row>
    <row r="98" spans="1:2" x14ac:dyDescent="0.2">
      <c r="A98" s="85">
        <v>44127</v>
      </c>
      <c r="B98">
        <v>-2206.71</v>
      </c>
    </row>
  </sheetData>
  <dataValidations count="1">
    <dataValidation type="list" allowBlank="1" showInputMessage="1" showErrorMessage="1" sqref="C32:C43 C46:C52 C55:C62" xr:uid="{00000000-0002-0000-0F00-000000000000}">
      <formula1>$A$63:$A$64</formula1>
    </dataValidation>
  </dataValidation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98"/>
  <sheetViews>
    <sheetView topLeftCell="A4" workbookViewId="0">
      <selection activeCell="A28" sqref="A28:C28"/>
    </sheetView>
  </sheetViews>
  <sheetFormatPr baseColWidth="10" defaultColWidth="8.83203125" defaultRowHeight="15" x14ac:dyDescent="0.2"/>
  <cols>
    <col min="1" max="1" width="55.33203125" bestFit="1" customWidth="1"/>
    <col min="2" max="2" width="18.6640625" bestFit="1" customWidth="1"/>
    <col min="3" max="3" width="20.5" bestFit="1" customWidth="1"/>
    <col min="4" max="4" width="16.5" bestFit="1" customWidth="1"/>
    <col min="5" max="5" width="10.6640625" customWidth="1"/>
    <col min="6" max="6" width="30.6640625" bestFit="1" customWidth="1"/>
    <col min="7" max="7" width="29.6640625" bestFit="1" customWidth="1"/>
    <col min="8" max="8" width="15.3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564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3188.56</v>
      </c>
      <c r="C3" s="51">
        <v>3188.56</v>
      </c>
      <c r="H3" s="26"/>
    </row>
    <row r="4" spans="1:11" x14ac:dyDescent="0.2">
      <c r="A4" s="26" t="s">
        <v>265</v>
      </c>
      <c r="B4">
        <v>1300.72</v>
      </c>
      <c r="C4">
        <v>1300.72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4489.28</v>
      </c>
      <c r="G8" s="27">
        <f>C9+C10+C11+C12+C13+C14+C15+C16+C17+C18+C19+C20</f>
        <v>4056.0499999999993</v>
      </c>
      <c r="H8" s="27">
        <f>F8-G8</f>
        <v>433.23000000000047</v>
      </c>
    </row>
    <row r="9" spans="1:11" s="24" customFormat="1" x14ac:dyDescent="0.2">
      <c r="A9" s="20" t="s">
        <v>293</v>
      </c>
      <c r="B9" s="20" t="s">
        <v>389</v>
      </c>
      <c r="C9" s="20">
        <v>1578.38</v>
      </c>
      <c r="D9" s="26"/>
      <c r="F9" s="31"/>
      <c r="G9" s="31"/>
      <c r="H9" s="67"/>
      <c r="I9" s="26"/>
    </row>
    <row r="10" spans="1:11" s="24" customFormat="1" x14ac:dyDescent="0.2">
      <c r="A10" s="20" t="s">
        <v>525</v>
      </c>
      <c r="B10" s="20" t="s">
        <v>389</v>
      </c>
      <c r="C10" s="20">
        <v>38.049999999999997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316</v>
      </c>
      <c r="B11" s="20" t="s">
        <v>403</v>
      </c>
      <c r="C11" s="21">
        <v>570.91999999999996</v>
      </c>
      <c r="D11" s="26"/>
      <c r="F11" s="33">
        <f>B3+B4</f>
        <v>4489.28</v>
      </c>
      <c r="G11" s="27">
        <f>C23+C24+C25+C26+C27+C28</f>
        <v>883.93999999999994</v>
      </c>
      <c r="H11" s="27">
        <f>F11-G11</f>
        <v>3605.3399999999997</v>
      </c>
      <c r="I11" s="26"/>
    </row>
    <row r="12" spans="1:11" s="24" customFormat="1" x14ac:dyDescent="0.2">
      <c r="A12" s="20" t="s">
        <v>311</v>
      </c>
      <c r="B12" s="20" t="s">
        <v>394</v>
      </c>
      <c r="C12" s="21">
        <v>30</v>
      </c>
      <c r="D12" s="26"/>
      <c r="F12" s="31"/>
      <c r="G12" s="31"/>
      <c r="H12" s="31"/>
      <c r="I12" s="26"/>
      <c r="J12" s="51"/>
    </row>
    <row r="13" spans="1:11" s="24" customFormat="1" x14ac:dyDescent="0.2">
      <c r="A13" s="20" t="s">
        <v>536</v>
      </c>
      <c r="B13" s="20" t="s">
        <v>402</v>
      </c>
      <c r="C13" s="21">
        <v>411.14</v>
      </c>
      <c r="D13" s="26"/>
      <c r="F13" s="31"/>
      <c r="G13" s="31"/>
      <c r="H13" s="31"/>
      <c r="I13" s="26"/>
      <c r="J13"/>
    </row>
    <row r="14" spans="1:11" s="24" customFormat="1" x14ac:dyDescent="0.2">
      <c r="A14" s="20" t="s">
        <v>517</v>
      </c>
      <c r="B14" s="20" t="s">
        <v>403</v>
      </c>
      <c r="C14" s="21">
        <v>150</v>
      </c>
      <c r="D14" s="26"/>
      <c r="F14" s="31"/>
      <c r="G14" s="31"/>
      <c r="H14" s="31"/>
      <c r="I14" s="26"/>
      <c r="J14" s="26"/>
      <c r="K14" s="26"/>
    </row>
    <row r="15" spans="1:11" s="24" customFormat="1" x14ac:dyDescent="0.2">
      <c r="A15" s="20" t="s">
        <v>76</v>
      </c>
      <c r="B15" s="20" t="s">
        <v>402</v>
      </c>
      <c r="C15" s="21">
        <v>14.99</v>
      </c>
      <c r="D15" s="26"/>
      <c r="F15" s="31"/>
      <c r="G15" s="31"/>
      <c r="H15" s="31"/>
      <c r="I15" s="26"/>
      <c r="J15" s="26"/>
      <c r="K15" s="26"/>
    </row>
    <row r="16" spans="1:11" s="24" customFormat="1" x14ac:dyDescent="0.2">
      <c r="A16" s="20" t="s">
        <v>521</v>
      </c>
      <c r="B16" s="20" t="s">
        <v>518</v>
      </c>
      <c r="C16" s="21">
        <v>542.02</v>
      </c>
      <c r="D16" s="26"/>
      <c r="F16" s="31"/>
      <c r="G16" s="31"/>
      <c r="H16" s="31"/>
    </row>
    <row r="17" spans="1:9" s="24" customFormat="1" x14ac:dyDescent="0.2">
      <c r="A17" s="20" t="s">
        <v>471</v>
      </c>
      <c r="B17" s="20" t="s">
        <v>401</v>
      </c>
      <c r="C17" s="21">
        <v>153.66</v>
      </c>
      <c r="D17" s="26"/>
      <c r="F17" s="31"/>
      <c r="G17" s="31"/>
      <c r="H17" s="31"/>
    </row>
    <row r="18" spans="1:9" s="24" customFormat="1" x14ac:dyDescent="0.2">
      <c r="A18" s="20" t="s">
        <v>526</v>
      </c>
      <c r="B18" s="20" t="s">
        <v>391</v>
      </c>
      <c r="C18" s="55">
        <v>44.27</v>
      </c>
      <c r="D18" s="26"/>
      <c r="F18" s="31"/>
      <c r="G18" s="31"/>
      <c r="H18" s="31"/>
    </row>
    <row r="19" spans="1:9" s="24" customFormat="1" x14ac:dyDescent="0.2">
      <c r="A19" s="20" t="s">
        <v>520</v>
      </c>
      <c r="B19" s="20" t="s">
        <v>400</v>
      </c>
      <c r="C19" s="21">
        <v>299.61</v>
      </c>
      <c r="F19" s="31"/>
      <c r="G19" s="31"/>
      <c r="H19" s="31"/>
    </row>
    <row r="20" spans="1:9" s="24" customFormat="1" x14ac:dyDescent="0.2">
      <c r="A20" s="20" t="s">
        <v>470</v>
      </c>
      <c r="B20" s="20" t="s">
        <v>400</v>
      </c>
      <c r="C20" s="21">
        <v>223.01</v>
      </c>
      <c r="D20" s="26"/>
      <c r="F20" s="31"/>
      <c r="G20" s="31"/>
      <c r="H20" s="31"/>
      <c r="I20" s="26"/>
    </row>
    <row r="21" spans="1:9" s="24" customFormat="1" x14ac:dyDescent="0.2">
      <c r="A21" s="82"/>
      <c r="B21" s="82"/>
      <c r="C21" s="83"/>
      <c r="D21" s="26"/>
      <c r="F21" s="31"/>
      <c r="G21" s="31"/>
      <c r="H21" s="31"/>
      <c r="I21" s="26"/>
    </row>
    <row r="22" spans="1:9" s="24" customFormat="1" x14ac:dyDescent="0.2">
      <c r="A22" s="84" t="s">
        <v>13</v>
      </c>
      <c r="B22" s="80"/>
      <c r="C22" s="81"/>
      <c r="D22" s="26"/>
      <c r="F22" s="31"/>
      <c r="G22" s="31"/>
      <c r="H22" s="31"/>
      <c r="I22" s="26"/>
    </row>
    <row r="23" spans="1:9" s="24" customFormat="1" x14ac:dyDescent="0.2">
      <c r="A23" s="20" t="s">
        <v>267</v>
      </c>
      <c r="B23" s="20" t="s">
        <v>404</v>
      </c>
      <c r="C23" s="55">
        <v>33.4</v>
      </c>
      <c r="D23" s="26"/>
      <c r="F23" s="31"/>
      <c r="G23" s="31"/>
      <c r="H23" s="31"/>
      <c r="I23" s="26"/>
    </row>
    <row r="24" spans="1:9" s="24" customFormat="1" x14ac:dyDescent="0.2">
      <c r="A24" s="20" t="s">
        <v>438</v>
      </c>
      <c r="B24" s="20" t="s">
        <v>405</v>
      </c>
      <c r="C24" s="21">
        <v>86.5</v>
      </c>
      <c r="D24" s="26"/>
      <c r="F24" s="31"/>
      <c r="G24" s="31"/>
      <c r="H24" s="31"/>
      <c r="I24" s="26"/>
    </row>
    <row r="25" spans="1:9" s="24" customFormat="1" x14ac:dyDescent="0.2">
      <c r="A25" s="20" t="s">
        <v>561</v>
      </c>
      <c r="B25" s="20" t="s">
        <v>562</v>
      </c>
      <c r="C25" s="21">
        <v>68</v>
      </c>
      <c r="D25" s="26"/>
      <c r="F25" s="31"/>
      <c r="G25" s="31"/>
      <c r="H25" s="31"/>
      <c r="I25" s="26"/>
    </row>
    <row r="26" spans="1:9" s="24" customFormat="1" x14ac:dyDescent="0.2">
      <c r="A26" s="20" t="s">
        <v>79</v>
      </c>
      <c r="B26" s="20" t="s">
        <v>390</v>
      </c>
      <c r="C26" s="21">
        <v>227</v>
      </c>
      <c r="D26" s="26"/>
      <c r="F26" s="31"/>
      <c r="G26" s="31"/>
      <c r="H26" s="31"/>
      <c r="I26" s="26"/>
    </row>
    <row r="27" spans="1:9" s="24" customFormat="1" x14ac:dyDescent="0.2">
      <c r="A27" s="20" t="s">
        <v>302</v>
      </c>
      <c r="B27" s="20" t="s">
        <v>388</v>
      </c>
      <c r="C27" s="21">
        <v>242</v>
      </c>
      <c r="D27" s="26"/>
      <c r="F27" s="31"/>
      <c r="G27" s="31"/>
      <c r="H27" s="31"/>
      <c r="I27" s="26"/>
    </row>
    <row r="28" spans="1:9" s="24" customFormat="1" x14ac:dyDescent="0.2">
      <c r="A28" s="20" t="s">
        <v>60</v>
      </c>
      <c r="B28" s="20" t="s">
        <v>395</v>
      </c>
      <c r="C28" s="21">
        <v>227.04</v>
      </c>
      <c r="D28" s="26"/>
      <c r="F28" s="31"/>
      <c r="G28" s="31"/>
      <c r="H28" s="31"/>
      <c r="I28" s="26"/>
    </row>
    <row r="29" spans="1:9" s="24" customFormat="1" x14ac:dyDescent="0.2">
      <c r="A29" s="14"/>
      <c r="B29" s="14"/>
      <c r="C29" s="14"/>
      <c r="D29" s="26"/>
      <c r="F29" s="31"/>
      <c r="G29" s="31"/>
      <c r="H29" s="31"/>
      <c r="I29" s="26"/>
    </row>
    <row r="30" spans="1:9" s="24" customFormat="1" x14ac:dyDescent="0.2">
      <c r="A30"/>
      <c r="B30"/>
      <c r="C30"/>
      <c r="D30" s="26"/>
      <c r="F30" s="31"/>
      <c r="G30" s="31"/>
      <c r="H30" s="31"/>
      <c r="I30" s="26"/>
    </row>
    <row r="31" spans="1:9" s="24" customFormat="1" x14ac:dyDescent="0.2">
      <c r="A31" s="87" t="s">
        <v>565</v>
      </c>
      <c r="B31" s="88" t="s">
        <v>568</v>
      </c>
      <c r="C31" t="s">
        <v>578</v>
      </c>
      <c r="D31" s="26"/>
      <c r="F31" s="31"/>
      <c r="G31" s="31"/>
      <c r="H31" s="31"/>
      <c r="I31" s="26"/>
    </row>
    <row r="32" spans="1:9" s="24" customFormat="1" x14ac:dyDescent="0.2">
      <c r="A32" s="85">
        <v>43371</v>
      </c>
      <c r="B32">
        <v>9771.16</v>
      </c>
      <c r="C32" s="26" t="s">
        <v>571</v>
      </c>
      <c r="D32" s="26"/>
      <c r="F32" s="26"/>
      <c r="G32" s="26"/>
      <c r="H32" s="26"/>
      <c r="I32" s="26"/>
    </row>
    <row r="33" spans="1:9" s="24" customFormat="1" x14ac:dyDescent="0.2">
      <c r="A33" s="86">
        <v>43385</v>
      </c>
      <c r="B33">
        <v>8821.16</v>
      </c>
      <c r="C33" s="26"/>
      <c r="D33" s="26"/>
      <c r="F33" s="68" t="s">
        <v>330</v>
      </c>
      <c r="G33" s="26"/>
      <c r="H33" s="26"/>
      <c r="I33" s="26"/>
    </row>
    <row r="34" spans="1:9" s="24" customFormat="1" x14ac:dyDescent="0.2">
      <c r="A34" s="86">
        <v>43399</v>
      </c>
      <c r="B34" s="46">
        <v>7871.16</v>
      </c>
      <c r="C34" s="26"/>
      <c r="D34" s="26"/>
      <c r="F34" s="25">
        <f>(H8+H11)/2</f>
        <v>2019.2850000000001</v>
      </c>
      <c r="G34" s="26"/>
      <c r="H34" s="26"/>
      <c r="I34" s="26"/>
    </row>
    <row r="35" spans="1:9" s="24" customFormat="1" x14ac:dyDescent="0.2">
      <c r="A35" s="85">
        <v>43413</v>
      </c>
      <c r="B35">
        <v>6971.16</v>
      </c>
      <c r="C35" s="26"/>
      <c r="D35" s="26"/>
      <c r="F35" s="26"/>
      <c r="G35" s="26"/>
      <c r="H35" s="26"/>
      <c r="I35" s="26"/>
    </row>
    <row r="36" spans="1:9" s="26" customFormat="1" x14ac:dyDescent="0.2">
      <c r="A36" s="85">
        <v>43427</v>
      </c>
      <c r="B36">
        <v>6021.16</v>
      </c>
      <c r="F36" s="24"/>
      <c r="G36" s="24"/>
      <c r="H36" s="71"/>
    </row>
    <row r="37" spans="1:9" s="26" customFormat="1" x14ac:dyDescent="0.2">
      <c r="A37" s="85">
        <v>43441</v>
      </c>
      <c r="B37">
        <v>5071.16</v>
      </c>
      <c r="F37" s="24"/>
      <c r="G37" s="24"/>
      <c r="H37" s="71"/>
    </row>
    <row r="38" spans="1:9" s="24" customFormat="1" x14ac:dyDescent="0.2">
      <c r="A38" s="86">
        <v>43455</v>
      </c>
      <c r="B38">
        <v>4121.16</v>
      </c>
      <c r="C38" s="26"/>
      <c r="D38" s="26"/>
      <c r="F38" s="26"/>
      <c r="G38" s="26"/>
      <c r="H38" s="26"/>
    </row>
    <row r="39" spans="1:9" s="24" customFormat="1" x14ac:dyDescent="0.2">
      <c r="A39" s="86">
        <v>43469</v>
      </c>
      <c r="B39">
        <v>3171.16</v>
      </c>
      <c r="C39" s="26"/>
      <c r="D39" s="26"/>
      <c r="F39"/>
      <c r="G39" s="26"/>
      <c r="H39" s="26"/>
    </row>
    <row r="40" spans="1:9" s="26" customFormat="1" x14ac:dyDescent="0.2">
      <c r="A40" s="85">
        <v>43483</v>
      </c>
      <c r="B40">
        <v>2221.16</v>
      </c>
    </row>
    <row r="41" spans="1:9" s="26" customFormat="1" x14ac:dyDescent="0.2">
      <c r="A41" s="85">
        <v>43497</v>
      </c>
      <c r="B41">
        <v>1271.1600000000001</v>
      </c>
      <c r="H41" s="24"/>
    </row>
    <row r="42" spans="1:9" s="26" customFormat="1" x14ac:dyDescent="0.2">
      <c r="A42" s="85">
        <v>43511</v>
      </c>
      <c r="B42" s="26">
        <v>321.16000000000003</v>
      </c>
      <c r="H42" s="24"/>
      <c r="I42" s="24"/>
    </row>
    <row r="43" spans="1:9" s="26" customFormat="1" x14ac:dyDescent="0.2">
      <c r="A43" s="85">
        <v>43525</v>
      </c>
      <c r="B43">
        <v>-628.84</v>
      </c>
      <c r="I43" s="24"/>
    </row>
    <row r="44" spans="1:9" s="24" customFormat="1" x14ac:dyDescent="0.2">
      <c r="A44"/>
      <c r="B44" s="26"/>
      <c r="C44"/>
      <c r="D44" s="77"/>
      <c r="F44" s="26"/>
      <c r="G44" s="26"/>
      <c r="H44" s="26"/>
    </row>
    <row r="45" spans="1:9" s="26" customFormat="1" ht="16" x14ac:dyDescent="0.2">
      <c r="A45" s="89" t="s">
        <v>566</v>
      </c>
      <c r="B45" s="88" t="s">
        <v>569</v>
      </c>
      <c r="C45"/>
    </row>
    <row r="46" spans="1:9" s="26" customFormat="1" x14ac:dyDescent="0.2">
      <c r="A46" s="86">
        <v>43525</v>
      </c>
      <c r="B46" s="26">
        <v>5304.92</v>
      </c>
      <c r="H46" s="24"/>
    </row>
    <row r="47" spans="1:9" s="26" customFormat="1" x14ac:dyDescent="0.2">
      <c r="A47" s="86">
        <v>43539</v>
      </c>
      <c r="B47" s="26">
        <v>4136.92</v>
      </c>
      <c r="G47" s="24"/>
      <c r="H47" s="24"/>
    </row>
    <row r="48" spans="1:9" s="24" customFormat="1" x14ac:dyDescent="0.2">
      <c r="A48" s="86">
        <v>43553</v>
      </c>
      <c r="B48" s="26">
        <v>2968.92</v>
      </c>
      <c r="C48" s="26"/>
      <c r="D48" s="26"/>
      <c r="F48" s="26"/>
      <c r="G48" s="26"/>
      <c r="I48"/>
    </row>
    <row r="49" spans="1:9" s="24" customFormat="1" x14ac:dyDescent="0.2">
      <c r="A49" s="86">
        <v>43567</v>
      </c>
      <c r="B49" s="26">
        <v>1800.92</v>
      </c>
      <c r="C49" s="26"/>
      <c r="D49" s="26"/>
      <c r="F49" s="26"/>
      <c r="G49" s="26"/>
      <c r="H49" s="26"/>
      <c r="I49"/>
    </row>
    <row r="50" spans="1:9" s="24" customFormat="1" x14ac:dyDescent="0.2">
      <c r="A50" s="86">
        <v>43581</v>
      </c>
      <c r="B50" s="26">
        <v>632.91999999999996</v>
      </c>
      <c r="C50" s="26"/>
      <c r="D50" s="26"/>
      <c r="F50" s="26"/>
      <c r="G50" s="26"/>
      <c r="H50" s="26"/>
      <c r="I50" s="26"/>
    </row>
    <row r="51" spans="1:9" s="26" customFormat="1" x14ac:dyDescent="0.2">
      <c r="A51" s="86">
        <v>43595</v>
      </c>
      <c r="B51" s="26">
        <v>-535.08000000000004</v>
      </c>
      <c r="H51"/>
    </row>
    <row r="52" spans="1:9" s="26" customFormat="1" x14ac:dyDescent="0.2">
      <c r="H52"/>
      <c r="I52"/>
    </row>
    <row r="53" spans="1:9" x14ac:dyDescent="0.2">
      <c r="A53" s="87" t="s">
        <v>567</v>
      </c>
      <c r="B53" s="88" t="s">
        <v>570</v>
      </c>
      <c r="F53" s="26"/>
      <c r="G53" s="26"/>
      <c r="H53" s="26"/>
    </row>
    <row r="54" spans="1:9" x14ac:dyDescent="0.2">
      <c r="A54" s="86">
        <v>43609</v>
      </c>
      <c r="B54" s="26">
        <v>10129.68</v>
      </c>
      <c r="G54" s="26"/>
      <c r="H54" s="26"/>
    </row>
    <row r="55" spans="1:9" s="26" customFormat="1" x14ac:dyDescent="0.2">
      <c r="A55" s="86">
        <v>43623</v>
      </c>
      <c r="B55" s="26">
        <v>8550.68</v>
      </c>
      <c r="F55"/>
      <c r="H55"/>
      <c r="I55"/>
    </row>
    <row r="56" spans="1:9" s="26" customFormat="1" x14ac:dyDescent="0.2">
      <c r="A56" s="86">
        <v>43637</v>
      </c>
      <c r="B56" s="26">
        <v>6971.68</v>
      </c>
      <c r="G56"/>
      <c r="H56"/>
      <c r="I56"/>
    </row>
    <row r="57" spans="1:9" x14ac:dyDescent="0.2">
      <c r="A57" s="86">
        <v>43651</v>
      </c>
      <c r="B57" s="26">
        <v>5392.68</v>
      </c>
      <c r="C57" s="26"/>
      <c r="F57" s="26"/>
    </row>
    <row r="58" spans="1:9" x14ac:dyDescent="0.2">
      <c r="A58" s="86">
        <v>43665</v>
      </c>
      <c r="B58" s="26">
        <v>3813.68</v>
      </c>
      <c r="C58" s="26"/>
    </row>
    <row r="59" spans="1:9" x14ac:dyDescent="0.2">
      <c r="A59" s="86">
        <v>43679</v>
      </c>
      <c r="B59" s="26">
        <v>2234.69</v>
      </c>
      <c r="C59" s="26"/>
    </row>
    <row r="60" spans="1:9" x14ac:dyDescent="0.2">
      <c r="A60" s="86">
        <v>43693</v>
      </c>
      <c r="B60" s="26">
        <v>655.68</v>
      </c>
      <c r="C60" s="26"/>
    </row>
    <row r="61" spans="1:9" x14ac:dyDescent="0.2">
      <c r="A61" s="86">
        <v>43707</v>
      </c>
      <c r="B61">
        <v>-923.32</v>
      </c>
      <c r="C61" s="26"/>
    </row>
    <row r="62" spans="1:9" x14ac:dyDescent="0.2">
      <c r="A62" s="26"/>
      <c r="B62" s="26"/>
      <c r="C62" s="26"/>
    </row>
    <row r="63" spans="1:9" x14ac:dyDescent="0.2">
      <c r="A63" s="26" t="s">
        <v>571</v>
      </c>
      <c r="B63" s="26"/>
    </row>
    <row r="64" spans="1:9" x14ac:dyDescent="0.2">
      <c r="A64" s="26" t="s">
        <v>572</v>
      </c>
      <c r="B64" s="26"/>
    </row>
    <row r="65" spans="1:2" x14ac:dyDescent="0.2">
      <c r="A65" s="26"/>
      <c r="B65" s="26"/>
    </row>
    <row r="66" spans="1:2" x14ac:dyDescent="0.2">
      <c r="A66" s="26" t="s">
        <v>573</v>
      </c>
      <c r="B66" s="26" t="s">
        <v>575</v>
      </c>
    </row>
    <row r="67" spans="1:2" x14ac:dyDescent="0.2">
      <c r="A67" s="86">
        <v>43721</v>
      </c>
      <c r="B67" s="26">
        <v>9538.82</v>
      </c>
    </row>
    <row r="68" spans="1:2" x14ac:dyDescent="0.2">
      <c r="A68" s="85">
        <v>43735</v>
      </c>
      <c r="B68">
        <v>7564.51</v>
      </c>
    </row>
    <row r="69" spans="1:2" x14ac:dyDescent="0.2">
      <c r="A69" s="85">
        <v>43749</v>
      </c>
      <c r="B69" s="26">
        <v>5590.2</v>
      </c>
    </row>
    <row r="70" spans="1:2" x14ac:dyDescent="0.2">
      <c r="A70" s="85">
        <v>43763</v>
      </c>
      <c r="B70" s="26">
        <v>3615.89</v>
      </c>
    </row>
    <row r="71" spans="1:2" x14ac:dyDescent="0.2">
      <c r="A71" s="85">
        <v>43777</v>
      </c>
      <c r="B71" s="26">
        <v>1641.58</v>
      </c>
    </row>
    <row r="72" spans="1:2" x14ac:dyDescent="0.2">
      <c r="A72" s="85">
        <v>43791</v>
      </c>
      <c r="B72" s="26">
        <v>-332.73</v>
      </c>
    </row>
    <row r="74" spans="1:2" x14ac:dyDescent="0.2">
      <c r="A74" t="s">
        <v>574</v>
      </c>
      <c r="B74" t="s">
        <v>576</v>
      </c>
    </row>
    <row r="75" spans="1:2" x14ac:dyDescent="0.2">
      <c r="A75" s="85">
        <v>43805</v>
      </c>
      <c r="B75">
        <v>55668.88</v>
      </c>
    </row>
    <row r="76" spans="1:2" x14ac:dyDescent="0.2">
      <c r="A76" s="85">
        <v>43819</v>
      </c>
      <c r="B76">
        <v>53152.55</v>
      </c>
    </row>
    <row r="77" spans="1:2" x14ac:dyDescent="0.2">
      <c r="A77" s="85">
        <v>43833</v>
      </c>
      <c r="B77">
        <v>50636.22</v>
      </c>
    </row>
    <row r="78" spans="1:2" x14ac:dyDescent="0.2">
      <c r="A78" s="85">
        <v>43847</v>
      </c>
      <c r="B78">
        <v>48119.89</v>
      </c>
    </row>
    <row r="79" spans="1:2" x14ac:dyDescent="0.2">
      <c r="A79" s="85">
        <v>43861</v>
      </c>
      <c r="B79">
        <v>45603.56</v>
      </c>
    </row>
    <row r="80" spans="1:2" x14ac:dyDescent="0.2">
      <c r="A80" s="85">
        <v>43875</v>
      </c>
      <c r="B80">
        <v>43087.23</v>
      </c>
    </row>
    <row r="81" spans="1:2" x14ac:dyDescent="0.2">
      <c r="A81" s="85">
        <v>43889</v>
      </c>
      <c r="B81">
        <v>40570.9</v>
      </c>
    </row>
    <row r="82" spans="1:2" x14ac:dyDescent="0.2">
      <c r="A82" s="85">
        <v>43903</v>
      </c>
      <c r="B82">
        <v>38054.57</v>
      </c>
    </row>
    <row r="83" spans="1:2" x14ac:dyDescent="0.2">
      <c r="A83" s="85">
        <v>43917</v>
      </c>
      <c r="B83">
        <v>35538.239999999998</v>
      </c>
    </row>
    <row r="84" spans="1:2" x14ac:dyDescent="0.2">
      <c r="A84" s="85">
        <v>43931</v>
      </c>
      <c r="B84">
        <v>33021.910000000003</v>
      </c>
    </row>
    <row r="85" spans="1:2" x14ac:dyDescent="0.2">
      <c r="A85" s="85">
        <v>43945</v>
      </c>
      <c r="B85">
        <v>30505.58</v>
      </c>
    </row>
    <row r="86" spans="1:2" x14ac:dyDescent="0.2">
      <c r="A86" s="85">
        <v>43959</v>
      </c>
      <c r="B86">
        <v>27989.25</v>
      </c>
    </row>
    <row r="87" spans="1:2" x14ac:dyDescent="0.2">
      <c r="A87" s="85">
        <v>43973</v>
      </c>
      <c r="B87">
        <v>25472.92</v>
      </c>
    </row>
    <row r="88" spans="1:2" x14ac:dyDescent="0.2">
      <c r="A88" s="85">
        <v>43987</v>
      </c>
      <c r="B88">
        <v>22956.59</v>
      </c>
    </row>
    <row r="89" spans="1:2" x14ac:dyDescent="0.2">
      <c r="A89" s="85">
        <v>44001</v>
      </c>
      <c r="B89">
        <v>20440.259999999998</v>
      </c>
    </row>
    <row r="90" spans="1:2" x14ac:dyDescent="0.2">
      <c r="A90" s="85">
        <v>44015</v>
      </c>
      <c r="B90">
        <v>17923.93</v>
      </c>
    </row>
    <row r="91" spans="1:2" x14ac:dyDescent="0.2">
      <c r="A91" s="85">
        <v>44029</v>
      </c>
      <c r="B91">
        <v>15407.6</v>
      </c>
    </row>
    <row r="92" spans="1:2" x14ac:dyDescent="0.2">
      <c r="A92" s="85">
        <v>44043</v>
      </c>
      <c r="B92">
        <v>12891.27</v>
      </c>
    </row>
    <row r="93" spans="1:2" x14ac:dyDescent="0.2">
      <c r="A93" s="85">
        <v>44057</v>
      </c>
      <c r="B93">
        <v>10374.94</v>
      </c>
    </row>
    <row r="94" spans="1:2" x14ac:dyDescent="0.2">
      <c r="A94" s="85">
        <v>44071</v>
      </c>
      <c r="B94">
        <v>7858.61</v>
      </c>
    </row>
    <row r="95" spans="1:2" x14ac:dyDescent="0.2">
      <c r="A95" s="85">
        <v>44085</v>
      </c>
      <c r="B95">
        <v>5342.28</v>
      </c>
    </row>
    <row r="96" spans="1:2" x14ac:dyDescent="0.2">
      <c r="A96" s="85">
        <v>44099</v>
      </c>
      <c r="B96">
        <v>2825.95</v>
      </c>
    </row>
    <row r="97" spans="1:2" x14ac:dyDescent="0.2">
      <c r="A97" s="85">
        <v>44113</v>
      </c>
      <c r="B97">
        <v>309.62</v>
      </c>
    </row>
    <row r="98" spans="1:2" x14ac:dyDescent="0.2">
      <c r="A98" s="85">
        <v>44127</v>
      </c>
      <c r="B98">
        <v>-2206.71</v>
      </c>
    </row>
  </sheetData>
  <dataValidations count="1">
    <dataValidation type="list" allowBlank="1" showInputMessage="1" showErrorMessage="1" sqref="C32:C43 C46:C52 C55:C62" xr:uid="{00000000-0002-0000-1000-000000000000}">
      <formula1>$A$63:$A$64</formula1>
    </dataValidation>
  </dataValidation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69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55.33203125" bestFit="1" customWidth="1"/>
    <col min="2" max="2" width="18.6640625" bestFit="1" customWidth="1"/>
    <col min="3" max="3" width="20.5" bestFit="1" customWidth="1"/>
    <col min="4" max="4" width="16.5" bestFit="1" customWidth="1"/>
    <col min="5" max="5" width="10.6640625" customWidth="1"/>
    <col min="6" max="6" width="30.6640625" bestFit="1" customWidth="1"/>
    <col min="7" max="7" width="29.6640625" bestFit="1" customWidth="1"/>
    <col min="8" max="8" width="15.3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563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3188.56</v>
      </c>
      <c r="C3" s="51">
        <v>3188.56</v>
      </c>
      <c r="H3" s="26"/>
    </row>
    <row r="4" spans="1:11" x14ac:dyDescent="0.2">
      <c r="A4" s="26" t="s">
        <v>265</v>
      </c>
      <c r="B4">
        <v>1300.72</v>
      </c>
      <c r="C4">
        <v>1300.72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4489.28</v>
      </c>
      <c r="G8" s="27">
        <f>C9+C10+C11+C12+C13+C14+C15+C16+C17+C18+C19+C20</f>
        <v>4057.95</v>
      </c>
      <c r="H8" s="27">
        <f>F8-G8</f>
        <v>431.32999999999993</v>
      </c>
    </row>
    <row r="9" spans="1:11" s="24" customFormat="1" x14ac:dyDescent="0.2">
      <c r="A9" s="20" t="s">
        <v>293</v>
      </c>
      <c r="B9" s="20" t="s">
        <v>389</v>
      </c>
      <c r="C9" s="20">
        <v>1580.28</v>
      </c>
      <c r="D9" s="26"/>
      <c r="F9" s="31"/>
      <c r="G9" s="31"/>
      <c r="H9" s="67"/>
      <c r="I9" s="26"/>
    </row>
    <row r="10" spans="1:11" s="24" customFormat="1" x14ac:dyDescent="0.2">
      <c r="A10" s="20" t="s">
        <v>525</v>
      </c>
      <c r="B10" s="20" t="s">
        <v>389</v>
      </c>
      <c r="C10" s="20">
        <v>38.049999999999997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316</v>
      </c>
      <c r="B11" s="20" t="s">
        <v>403</v>
      </c>
      <c r="C11" s="21">
        <v>570.91999999999996</v>
      </c>
      <c r="D11" s="26"/>
      <c r="F11" s="33">
        <f>B3+B4</f>
        <v>4489.28</v>
      </c>
      <c r="G11" s="27">
        <f>C23+C24+C25+C26+C27+C28</f>
        <v>891.93999999999994</v>
      </c>
      <c r="H11" s="27">
        <f>F11-G11</f>
        <v>3597.3399999999997</v>
      </c>
      <c r="I11" s="26"/>
    </row>
    <row r="12" spans="1:11" s="24" customFormat="1" x14ac:dyDescent="0.2">
      <c r="A12" s="20" t="s">
        <v>311</v>
      </c>
      <c r="B12" s="20" t="s">
        <v>394</v>
      </c>
      <c r="C12" s="21">
        <v>30</v>
      </c>
      <c r="D12" s="26"/>
      <c r="F12" s="31"/>
      <c r="G12" s="31"/>
      <c r="H12" s="31"/>
      <c r="I12" s="26"/>
      <c r="J12" s="51"/>
    </row>
    <row r="13" spans="1:11" s="24" customFormat="1" x14ac:dyDescent="0.2">
      <c r="A13" s="20" t="s">
        <v>536</v>
      </c>
      <c r="B13" s="20" t="s">
        <v>402</v>
      </c>
      <c r="C13" s="21">
        <v>411.14</v>
      </c>
      <c r="D13" s="26"/>
      <c r="F13" s="31"/>
      <c r="G13" s="31"/>
      <c r="H13" s="31"/>
      <c r="I13" s="26"/>
      <c r="J13"/>
    </row>
    <row r="14" spans="1:11" s="24" customFormat="1" x14ac:dyDescent="0.2">
      <c r="A14" s="20" t="s">
        <v>517</v>
      </c>
      <c r="B14" s="20" t="s">
        <v>403</v>
      </c>
      <c r="C14" s="21">
        <v>150</v>
      </c>
      <c r="D14" s="26"/>
      <c r="F14" s="31"/>
      <c r="G14" s="31"/>
      <c r="H14" s="31"/>
      <c r="I14" s="26"/>
      <c r="J14" s="26"/>
      <c r="K14" s="26"/>
    </row>
    <row r="15" spans="1:11" s="24" customFormat="1" x14ac:dyDescent="0.2">
      <c r="A15" s="20" t="s">
        <v>76</v>
      </c>
      <c r="B15" s="20" t="s">
        <v>402</v>
      </c>
      <c r="C15" s="21">
        <v>14.99</v>
      </c>
      <c r="D15" s="26"/>
      <c r="F15" s="31"/>
      <c r="G15" s="31"/>
      <c r="H15" s="31"/>
      <c r="I15" s="26"/>
      <c r="J15" s="26"/>
      <c r="K15" s="26"/>
    </row>
    <row r="16" spans="1:11" s="24" customFormat="1" x14ac:dyDescent="0.2">
      <c r="A16" s="20" t="s">
        <v>521</v>
      </c>
      <c r="B16" s="20" t="s">
        <v>518</v>
      </c>
      <c r="C16" s="21">
        <v>542.02</v>
      </c>
      <c r="D16" s="26"/>
      <c r="F16" s="31"/>
      <c r="G16" s="31"/>
      <c r="H16" s="31"/>
    </row>
    <row r="17" spans="1:9" s="24" customFormat="1" x14ac:dyDescent="0.2">
      <c r="A17" s="20" t="s">
        <v>471</v>
      </c>
      <c r="B17" s="20" t="s">
        <v>401</v>
      </c>
      <c r="C17" s="21">
        <v>153.66</v>
      </c>
      <c r="D17" s="26"/>
      <c r="F17" s="31"/>
      <c r="G17" s="31"/>
      <c r="H17" s="31"/>
    </row>
    <row r="18" spans="1:9" s="24" customFormat="1" x14ac:dyDescent="0.2">
      <c r="A18" s="20" t="s">
        <v>526</v>
      </c>
      <c r="B18" s="20" t="s">
        <v>391</v>
      </c>
      <c r="C18" s="55">
        <v>44.27</v>
      </c>
      <c r="D18" s="26"/>
      <c r="F18" s="31"/>
      <c r="G18" s="31"/>
      <c r="H18" s="31"/>
    </row>
    <row r="19" spans="1:9" s="24" customFormat="1" x14ac:dyDescent="0.2">
      <c r="A19" s="20" t="s">
        <v>520</v>
      </c>
      <c r="B19" s="20" t="s">
        <v>400</v>
      </c>
      <c r="C19" s="21">
        <v>299.61</v>
      </c>
      <c r="F19" s="31"/>
      <c r="G19" s="31"/>
      <c r="H19" s="31"/>
    </row>
    <row r="20" spans="1:9" s="24" customFormat="1" x14ac:dyDescent="0.2">
      <c r="A20" s="20" t="s">
        <v>470</v>
      </c>
      <c r="B20" s="20" t="s">
        <v>400</v>
      </c>
      <c r="C20" s="21">
        <v>223.01</v>
      </c>
      <c r="D20" s="26"/>
      <c r="F20" s="31"/>
      <c r="G20" s="31"/>
      <c r="H20" s="31"/>
      <c r="I20" s="26"/>
    </row>
    <row r="21" spans="1:9" s="24" customFormat="1" x14ac:dyDescent="0.2">
      <c r="A21" s="29"/>
      <c r="B21" s="29"/>
      <c r="C21" s="30"/>
      <c r="D21" s="26"/>
      <c r="F21" s="31"/>
      <c r="G21" s="31"/>
      <c r="H21" s="31"/>
      <c r="I21" s="26"/>
    </row>
    <row r="22" spans="1:9" s="24" customFormat="1" x14ac:dyDescent="0.2">
      <c r="A22" s="32" t="s">
        <v>13</v>
      </c>
      <c r="B22" s="25"/>
      <c r="C22" s="27"/>
      <c r="D22" s="26"/>
      <c r="F22" s="31"/>
      <c r="G22" s="31"/>
      <c r="H22" s="31"/>
      <c r="I22" s="26"/>
    </row>
    <row r="23" spans="1:9" s="24" customFormat="1" x14ac:dyDescent="0.2">
      <c r="A23" s="20" t="s">
        <v>267</v>
      </c>
      <c r="B23" s="20" t="s">
        <v>404</v>
      </c>
      <c r="C23" s="55">
        <v>33.4</v>
      </c>
      <c r="D23" s="26"/>
      <c r="F23" s="31"/>
      <c r="G23" s="31"/>
      <c r="H23" s="31"/>
      <c r="I23" s="26"/>
    </row>
    <row r="24" spans="1:9" s="24" customFormat="1" x14ac:dyDescent="0.2">
      <c r="A24" s="20" t="s">
        <v>438</v>
      </c>
      <c r="B24" s="20" t="s">
        <v>405</v>
      </c>
      <c r="C24" s="21">
        <v>86.5</v>
      </c>
      <c r="D24" s="26"/>
      <c r="F24" s="31"/>
      <c r="G24" s="31"/>
      <c r="H24" s="31"/>
      <c r="I24" s="26"/>
    </row>
    <row r="25" spans="1:9" s="24" customFormat="1" x14ac:dyDescent="0.2">
      <c r="A25" s="20" t="s">
        <v>561</v>
      </c>
      <c r="B25" s="20" t="s">
        <v>562</v>
      </c>
      <c r="C25" s="21">
        <v>68</v>
      </c>
      <c r="D25" s="26"/>
      <c r="F25" s="31"/>
      <c r="G25" s="31"/>
      <c r="H25" s="31"/>
      <c r="I25" s="26"/>
    </row>
    <row r="26" spans="1:9" s="24" customFormat="1" x14ac:dyDescent="0.2">
      <c r="A26" s="20" t="s">
        <v>79</v>
      </c>
      <c r="B26" s="20" t="s">
        <v>390</v>
      </c>
      <c r="C26" s="21">
        <v>227</v>
      </c>
      <c r="D26" s="26"/>
      <c r="F26" s="31"/>
      <c r="G26" s="31"/>
      <c r="H26" s="31"/>
      <c r="I26" s="26"/>
    </row>
    <row r="27" spans="1:9" s="24" customFormat="1" x14ac:dyDescent="0.2">
      <c r="A27" s="20" t="s">
        <v>302</v>
      </c>
      <c r="B27" s="20" t="s">
        <v>388</v>
      </c>
      <c r="C27" s="21">
        <v>250</v>
      </c>
      <c r="D27" s="26"/>
      <c r="F27" s="31"/>
      <c r="G27" s="31"/>
      <c r="H27" s="31"/>
      <c r="I27" s="26"/>
    </row>
    <row r="28" spans="1:9" s="24" customFormat="1" x14ac:dyDescent="0.2">
      <c r="A28" s="20" t="s">
        <v>60</v>
      </c>
      <c r="B28" s="20" t="s">
        <v>395</v>
      </c>
      <c r="C28" s="21">
        <v>227.04</v>
      </c>
      <c r="D28" s="26"/>
      <c r="F28" s="31"/>
      <c r="G28" s="31"/>
      <c r="H28" s="31"/>
      <c r="I28" s="26"/>
    </row>
    <row r="29" spans="1:9" s="24" customFormat="1" x14ac:dyDescent="0.2">
      <c r="A29" s="14"/>
      <c r="B29" s="14"/>
      <c r="C29" s="14"/>
      <c r="D29" s="26"/>
      <c r="F29" s="31"/>
      <c r="G29" s="31"/>
      <c r="H29" s="31"/>
      <c r="I29" s="26"/>
    </row>
    <row r="30" spans="1:9" s="24" customFormat="1" x14ac:dyDescent="0.2">
      <c r="A30"/>
      <c r="B30"/>
      <c r="C30"/>
      <c r="D30" s="26"/>
      <c r="F30" s="31"/>
      <c r="G30" s="31"/>
      <c r="H30" s="31"/>
      <c r="I30" s="26"/>
    </row>
    <row r="31" spans="1:9" s="24" customFormat="1" x14ac:dyDescent="0.2">
      <c r="A31" s="26"/>
      <c r="B31" s="26"/>
      <c r="C31"/>
      <c r="D31" s="26"/>
      <c r="F31" s="31"/>
      <c r="G31" s="31"/>
      <c r="H31" s="31"/>
      <c r="I31" s="26"/>
    </row>
    <row r="32" spans="1:9" s="24" customFormat="1" x14ac:dyDescent="0.2">
      <c r="A32"/>
      <c r="B32"/>
      <c r="C32" s="26"/>
      <c r="D32" s="26"/>
      <c r="F32" s="26"/>
      <c r="G32" s="26"/>
      <c r="H32" s="26"/>
      <c r="I32" s="26"/>
    </row>
    <row r="33" spans="1:9" s="24" customFormat="1" x14ac:dyDescent="0.2">
      <c r="B33"/>
      <c r="C33" s="26"/>
      <c r="D33" s="26"/>
      <c r="F33" s="68" t="s">
        <v>330</v>
      </c>
      <c r="G33" s="26"/>
      <c r="H33" s="26"/>
      <c r="I33" s="26"/>
    </row>
    <row r="34" spans="1:9" s="24" customFormat="1" x14ac:dyDescent="0.2">
      <c r="A34" s="44" t="s">
        <v>540</v>
      </c>
      <c r="B34" s="44" t="s">
        <v>541</v>
      </c>
      <c r="C34" s="26"/>
      <c r="D34" s="26"/>
      <c r="F34" s="25">
        <f>(H8+H11)/2</f>
        <v>2014.3349999999998</v>
      </c>
      <c r="G34" s="26"/>
      <c r="H34" s="26"/>
      <c r="I34" s="26"/>
    </row>
    <row r="35" spans="1:9" s="24" customFormat="1" x14ac:dyDescent="0.2">
      <c r="A35" t="s">
        <v>537</v>
      </c>
      <c r="B35">
        <v>12351.43</v>
      </c>
      <c r="C35" s="26"/>
      <c r="D35" s="26"/>
      <c r="F35" s="26"/>
      <c r="G35" s="26"/>
      <c r="H35" s="26"/>
      <c r="I35" s="26"/>
    </row>
    <row r="36" spans="1:9" s="26" customFormat="1" x14ac:dyDescent="0.2">
      <c r="A36" t="s">
        <v>538</v>
      </c>
      <c r="B36">
        <v>19298.759999999998</v>
      </c>
      <c r="C36"/>
      <c r="F36" s="24"/>
      <c r="G36" s="24"/>
      <c r="H36" s="71"/>
    </row>
    <row r="37" spans="1:9" s="26" customFormat="1" x14ac:dyDescent="0.2">
      <c r="A37"/>
      <c r="B37" s="78"/>
      <c r="C37"/>
      <c r="F37" s="24"/>
      <c r="G37" s="24"/>
      <c r="H37" s="71"/>
    </row>
    <row r="38" spans="1:9" s="24" customFormat="1" x14ac:dyDescent="0.2">
      <c r="B38">
        <v>32050.19</v>
      </c>
      <c r="C38"/>
      <c r="D38" s="26"/>
      <c r="F38" s="26"/>
      <c r="G38" s="26"/>
      <c r="H38" s="26"/>
    </row>
    <row r="39" spans="1:9" s="24" customFormat="1" x14ac:dyDescent="0.2">
      <c r="B39"/>
      <c r="C39"/>
      <c r="D39" s="26"/>
      <c r="F39"/>
      <c r="G39" s="26"/>
      <c r="H39" s="26"/>
    </row>
    <row r="40" spans="1:9" s="26" customFormat="1" x14ac:dyDescent="0.2">
      <c r="A40" t="s">
        <v>559</v>
      </c>
      <c r="B40"/>
      <c r="C40"/>
    </row>
    <row r="41" spans="1:9" s="26" customFormat="1" x14ac:dyDescent="0.2">
      <c r="A41" t="s">
        <v>560</v>
      </c>
      <c r="B41"/>
      <c r="C41"/>
      <c r="H41" s="24"/>
    </row>
    <row r="42" spans="1:9" s="26" customFormat="1" x14ac:dyDescent="0.2">
      <c r="A42"/>
      <c r="C42"/>
      <c r="H42" s="24"/>
      <c r="I42" s="24"/>
    </row>
    <row r="43" spans="1:9" s="26" customFormat="1" x14ac:dyDescent="0.2">
      <c r="A43"/>
      <c r="C43"/>
      <c r="I43" s="24"/>
    </row>
    <row r="44" spans="1:9" s="24" customFormat="1" x14ac:dyDescent="0.2">
      <c r="A44"/>
      <c r="B44" s="26"/>
      <c r="C44"/>
      <c r="D44" s="77"/>
      <c r="F44" s="26"/>
      <c r="G44" s="26"/>
      <c r="H44" s="26"/>
    </row>
    <row r="45" spans="1:9" s="26" customFormat="1" ht="32" x14ac:dyDescent="0.2">
      <c r="A45" s="79" t="s">
        <v>558</v>
      </c>
      <c r="C45"/>
    </row>
    <row r="46" spans="1:9" s="26" customFormat="1" x14ac:dyDescent="0.2">
      <c r="C46"/>
      <c r="H46" s="24"/>
    </row>
    <row r="47" spans="1:9" s="26" customFormat="1" x14ac:dyDescent="0.2">
      <c r="C47"/>
      <c r="G47" s="24"/>
      <c r="H47" s="24"/>
    </row>
    <row r="48" spans="1:9" s="24" customFormat="1" x14ac:dyDescent="0.2">
      <c r="A48" s="26"/>
      <c r="B48" s="26"/>
      <c r="C48"/>
      <c r="D48" s="26"/>
      <c r="F48" s="26"/>
      <c r="G48" s="26"/>
      <c r="I48"/>
    </row>
    <row r="49" spans="1:9" s="24" customFormat="1" x14ac:dyDescent="0.2">
      <c r="A49" s="26"/>
      <c r="B49" s="26"/>
      <c r="C49"/>
      <c r="D49" s="26"/>
      <c r="F49" s="26"/>
      <c r="G49" s="26"/>
      <c r="H49" s="26"/>
      <c r="I49"/>
    </row>
    <row r="50" spans="1:9" s="24" customFormat="1" x14ac:dyDescent="0.2">
      <c r="A50" s="26"/>
      <c r="B50" s="26"/>
      <c r="C50"/>
      <c r="D50" s="26"/>
      <c r="F50" s="26"/>
      <c r="G50" s="26"/>
      <c r="H50" s="26"/>
      <c r="I50" s="26"/>
    </row>
    <row r="51" spans="1:9" s="26" customFormat="1" x14ac:dyDescent="0.2">
      <c r="C51"/>
      <c r="H51"/>
    </row>
    <row r="52" spans="1:9" s="26" customFormat="1" x14ac:dyDescent="0.2">
      <c r="C52"/>
      <c r="H52"/>
      <c r="I52"/>
    </row>
    <row r="53" spans="1:9" x14ac:dyDescent="0.2">
      <c r="A53" s="26"/>
      <c r="B53" s="26"/>
      <c r="F53" s="26"/>
      <c r="G53" s="26"/>
      <c r="H53" s="26"/>
    </row>
    <row r="54" spans="1:9" x14ac:dyDescent="0.2">
      <c r="A54" s="26"/>
      <c r="B54" s="26"/>
      <c r="G54" s="26"/>
      <c r="H54" s="26"/>
    </row>
    <row r="55" spans="1:9" s="26" customFormat="1" x14ac:dyDescent="0.2">
      <c r="C55"/>
      <c r="F55"/>
      <c r="H55"/>
      <c r="I55"/>
    </row>
    <row r="56" spans="1:9" s="26" customFormat="1" x14ac:dyDescent="0.2">
      <c r="C56"/>
      <c r="G56"/>
      <c r="H56"/>
      <c r="I56"/>
    </row>
    <row r="57" spans="1:9" x14ac:dyDescent="0.2">
      <c r="A57" s="26"/>
      <c r="B57" s="26"/>
      <c r="F57" s="26"/>
    </row>
    <row r="58" spans="1:9" x14ac:dyDescent="0.2">
      <c r="A58" s="26"/>
      <c r="B58" s="26"/>
    </row>
    <row r="59" spans="1:9" x14ac:dyDescent="0.2">
      <c r="A59" s="26"/>
      <c r="B59" s="26"/>
    </row>
    <row r="60" spans="1:9" x14ac:dyDescent="0.2">
      <c r="A60" s="26"/>
      <c r="B60" s="26"/>
    </row>
    <row r="61" spans="1:9" x14ac:dyDescent="0.2">
      <c r="A61" s="26"/>
      <c r="B61" s="26"/>
    </row>
    <row r="62" spans="1:9" x14ac:dyDescent="0.2">
      <c r="A62" s="26"/>
      <c r="B62" s="26"/>
    </row>
    <row r="63" spans="1:9" x14ac:dyDescent="0.2">
      <c r="A63" s="26"/>
      <c r="B63" s="26"/>
    </row>
    <row r="64" spans="1:9" x14ac:dyDescent="0.2">
      <c r="A64" s="26"/>
      <c r="B64" s="26"/>
    </row>
    <row r="65" spans="1:2" x14ac:dyDescent="0.2">
      <c r="A65" s="26"/>
      <c r="B65" s="26"/>
    </row>
    <row r="66" spans="1:2" x14ac:dyDescent="0.2">
      <c r="A66" s="26"/>
      <c r="B66" s="26"/>
    </row>
    <row r="67" spans="1:2" x14ac:dyDescent="0.2">
      <c r="A67" s="26"/>
      <c r="B67" s="26"/>
    </row>
    <row r="68" spans="1:2" x14ac:dyDescent="0.2">
      <c r="A68" s="26"/>
      <c r="B68" s="26"/>
    </row>
    <row r="69" spans="1:2" x14ac:dyDescent="0.2">
      <c r="A69" s="26"/>
      <c r="B69" s="26"/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70"/>
  <sheetViews>
    <sheetView workbookViewId="0">
      <selection activeCell="C9" sqref="C9:C30"/>
    </sheetView>
  </sheetViews>
  <sheetFormatPr baseColWidth="10" defaultColWidth="8.83203125" defaultRowHeight="15" x14ac:dyDescent="0.2"/>
  <cols>
    <col min="1" max="1" width="55.33203125" bestFit="1" customWidth="1"/>
    <col min="2" max="2" width="18.6640625" bestFit="1" customWidth="1"/>
    <col min="3" max="3" width="20.5" bestFit="1" customWidth="1"/>
    <col min="4" max="4" width="16.5" bestFit="1" customWidth="1"/>
    <col min="5" max="5" width="10.6640625" customWidth="1"/>
    <col min="6" max="6" width="30.6640625" bestFit="1" customWidth="1"/>
    <col min="7" max="7" width="29.6640625" bestFit="1" customWidth="1"/>
    <col min="8" max="8" width="15.3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546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3190.78</v>
      </c>
      <c r="C3" s="51">
        <v>3190.78</v>
      </c>
      <c r="H3" s="26"/>
    </row>
    <row r="4" spans="1:11" x14ac:dyDescent="0.2">
      <c r="A4" s="26" t="s">
        <v>265</v>
      </c>
      <c r="B4">
        <v>1264.97</v>
      </c>
      <c r="C4">
        <v>1267.97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4455.75</v>
      </c>
      <c r="G8" s="27">
        <f>C9+C10+C11+C12+C13+C14+C15+C16+C17+C18+C19+C20+C21+C22</f>
        <v>4142.54</v>
      </c>
      <c r="H8" s="27">
        <f>F8-G8</f>
        <v>313.21000000000004</v>
      </c>
    </row>
    <row r="9" spans="1:11" s="24" customFormat="1" x14ac:dyDescent="0.2">
      <c r="A9" s="20" t="s">
        <v>293</v>
      </c>
      <c r="B9" s="20" t="s">
        <v>389</v>
      </c>
      <c r="C9" s="20">
        <v>1580.28</v>
      </c>
      <c r="D9" s="26"/>
      <c r="F9" s="31"/>
      <c r="G9" s="31"/>
      <c r="H9" s="67"/>
      <c r="I9" s="26"/>
    </row>
    <row r="10" spans="1:11" s="24" customFormat="1" x14ac:dyDescent="0.2">
      <c r="A10" s="20" t="s">
        <v>525</v>
      </c>
      <c r="B10" s="20" t="s">
        <v>389</v>
      </c>
      <c r="C10" s="20">
        <v>38.049999999999997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316</v>
      </c>
      <c r="B11" s="20" t="s">
        <v>403</v>
      </c>
      <c r="C11" s="21">
        <v>570.91999999999996</v>
      </c>
      <c r="D11" s="26"/>
      <c r="F11" s="33">
        <f>B3+B4</f>
        <v>4455.75</v>
      </c>
      <c r="G11" s="27">
        <f>C25+C26+C27+C28+C29+C30</f>
        <v>901.93999999999994</v>
      </c>
      <c r="H11" s="27">
        <f>F11-G11</f>
        <v>3553.81</v>
      </c>
      <c r="I11" s="26"/>
    </row>
    <row r="12" spans="1:11" s="24" customFormat="1" x14ac:dyDescent="0.2">
      <c r="A12" s="20" t="s">
        <v>311</v>
      </c>
      <c r="B12" s="20" t="s">
        <v>394</v>
      </c>
      <c r="C12" s="21">
        <v>30</v>
      </c>
      <c r="D12" s="26"/>
      <c r="F12" s="31"/>
      <c r="G12" s="31"/>
      <c r="H12" s="31"/>
      <c r="I12" s="26"/>
      <c r="J12" s="51"/>
    </row>
    <row r="13" spans="1:11" s="24" customFormat="1" x14ac:dyDescent="0.2">
      <c r="A13" s="20" t="s">
        <v>536</v>
      </c>
      <c r="B13" s="20" t="s">
        <v>402</v>
      </c>
      <c r="C13" s="21">
        <v>412</v>
      </c>
      <c r="D13" s="26"/>
      <c r="F13" s="31"/>
      <c r="G13" s="31"/>
      <c r="H13" s="31"/>
      <c r="I13" s="26"/>
      <c r="J13"/>
    </row>
    <row r="14" spans="1:11" s="24" customFormat="1" x14ac:dyDescent="0.2">
      <c r="A14" s="20" t="s">
        <v>517</v>
      </c>
      <c r="B14" s="20" t="s">
        <v>403</v>
      </c>
      <c r="C14" s="21">
        <v>150</v>
      </c>
      <c r="D14" s="26"/>
      <c r="F14" s="31"/>
      <c r="G14" s="31"/>
      <c r="H14" s="31"/>
      <c r="I14" s="26"/>
      <c r="J14" s="26"/>
      <c r="K14" s="26"/>
    </row>
    <row r="15" spans="1:11" s="24" customFormat="1" x14ac:dyDescent="0.2">
      <c r="A15" s="20" t="s">
        <v>76</v>
      </c>
      <c r="B15" s="20" t="s">
        <v>402</v>
      </c>
      <c r="C15" s="21">
        <v>14.99</v>
      </c>
      <c r="D15" s="26"/>
      <c r="F15" s="31"/>
      <c r="G15" s="31"/>
      <c r="H15" s="31"/>
      <c r="I15" s="26"/>
      <c r="J15" s="26"/>
      <c r="K15" s="26"/>
    </row>
    <row r="16" spans="1:11" s="24" customFormat="1" x14ac:dyDescent="0.2">
      <c r="A16" s="20" t="s">
        <v>521</v>
      </c>
      <c r="B16" s="20" t="s">
        <v>518</v>
      </c>
      <c r="C16" s="21">
        <v>542.02</v>
      </c>
      <c r="D16" s="26"/>
      <c r="F16" s="31"/>
      <c r="G16" s="31"/>
      <c r="H16" s="31"/>
    </row>
    <row r="17" spans="1:9" s="24" customFormat="1" x14ac:dyDescent="0.2">
      <c r="A17" s="20" t="s">
        <v>453</v>
      </c>
      <c r="B17" s="20" t="s">
        <v>398</v>
      </c>
      <c r="C17" s="21">
        <v>25</v>
      </c>
      <c r="D17" s="26"/>
      <c r="F17" s="31"/>
      <c r="G17" s="31"/>
      <c r="H17" s="31"/>
    </row>
    <row r="18" spans="1:9" s="24" customFormat="1" x14ac:dyDescent="0.2">
      <c r="A18" s="20" t="s">
        <v>471</v>
      </c>
      <c r="B18" s="20" t="s">
        <v>401</v>
      </c>
      <c r="C18" s="21">
        <v>153.66</v>
      </c>
      <c r="D18" s="26"/>
      <c r="F18" s="31"/>
      <c r="G18" s="31"/>
      <c r="H18" s="31"/>
    </row>
    <row r="19" spans="1:9" s="24" customFormat="1" x14ac:dyDescent="0.2">
      <c r="A19" s="20" t="s">
        <v>526</v>
      </c>
      <c r="B19" s="20" t="s">
        <v>391</v>
      </c>
      <c r="C19" s="55">
        <v>35</v>
      </c>
      <c r="F19" s="31"/>
      <c r="G19" s="31"/>
      <c r="H19" s="31"/>
    </row>
    <row r="20" spans="1:9" s="24" customFormat="1" x14ac:dyDescent="0.2">
      <c r="A20" s="20" t="s">
        <v>442</v>
      </c>
      <c r="B20" s="20" t="s">
        <v>523</v>
      </c>
      <c r="C20" s="21">
        <v>68</v>
      </c>
      <c r="D20" s="26"/>
      <c r="F20" s="31"/>
      <c r="G20" s="31"/>
      <c r="H20" s="31"/>
      <c r="I20" s="26"/>
    </row>
    <row r="21" spans="1:9" s="24" customFormat="1" x14ac:dyDescent="0.2">
      <c r="A21" s="20" t="s">
        <v>520</v>
      </c>
      <c r="B21" s="20" t="s">
        <v>400</v>
      </c>
      <c r="C21" s="21">
        <v>299.61</v>
      </c>
      <c r="D21" s="26"/>
      <c r="F21" s="31"/>
      <c r="G21" s="31"/>
      <c r="H21" s="31"/>
      <c r="I21" s="26"/>
    </row>
    <row r="22" spans="1:9" s="24" customFormat="1" x14ac:dyDescent="0.2">
      <c r="A22" s="20" t="s">
        <v>470</v>
      </c>
      <c r="B22" s="20" t="s">
        <v>400</v>
      </c>
      <c r="C22" s="21">
        <v>223.01</v>
      </c>
      <c r="D22" s="26"/>
      <c r="F22" s="31"/>
      <c r="G22" s="31"/>
      <c r="H22" s="31"/>
      <c r="I22" s="26"/>
    </row>
    <row r="23" spans="1:9" s="24" customFormat="1" x14ac:dyDescent="0.2">
      <c r="A23" s="29"/>
      <c r="B23" s="29"/>
      <c r="C23" s="30"/>
      <c r="D23" s="26"/>
      <c r="F23" s="31"/>
      <c r="G23" s="31"/>
      <c r="H23" s="31"/>
      <c r="I23" s="26"/>
    </row>
    <row r="24" spans="1:9" s="24" customFormat="1" x14ac:dyDescent="0.2">
      <c r="A24" s="32" t="s">
        <v>13</v>
      </c>
      <c r="B24" s="25"/>
      <c r="C24" s="27"/>
      <c r="D24" s="26"/>
      <c r="F24" s="31"/>
      <c r="G24" s="31"/>
      <c r="H24" s="31"/>
      <c r="I24" s="26"/>
    </row>
    <row r="25" spans="1:9" s="24" customFormat="1" x14ac:dyDescent="0.2">
      <c r="A25" s="20" t="s">
        <v>267</v>
      </c>
      <c r="B25" s="20" t="s">
        <v>404</v>
      </c>
      <c r="C25" s="55">
        <v>33.4</v>
      </c>
      <c r="D25" s="26"/>
      <c r="F25" s="31"/>
      <c r="G25" s="31"/>
      <c r="H25" s="31"/>
      <c r="I25" s="26"/>
    </row>
    <row r="26" spans="1:9" s="24" customFormat="1" x14ac:dyDescent="0.2">
      <c r="A26" s="20" t="s">
        <v>438</v>
      </c>
      <c r="B26" s="20" t="s">
        <v>405</v>
      </c>
      <c r="C26" s="21">
        <v>86.5</v>
      </c>
      <c r="D26" s="26"/>
      <c r="F26" s="31"/>
      <c r="G26" s="31"/>
      <c r="H26" s="31"/>
      <c r="I26" s="26"/>
    </row>
    <row r="27" spans="1:9" s="24" customFormat="1" x14ac:dyDescent="0.2">
      <c r="A27" s="20" t="s">
        <v>561</v>
      </c>
      <c r="B27" s="20" t="s">
        <v>562</v>
      </c>
      <c r="C27" s="21">
        <v>68</v>
      </c>
      <c r="D27" s="26"/>
      <c r="F27" s="31"/>
      <c r="G27" s="31"/>
      <c r="H27" s="31"/>
      <c r="I27" s="26"/>
    </row>
    <row r="28" spans="1:9" s="24" customFormat="1" x14ac:dyDescent="0.2">
      <c r="A28" s="20" t="s">
        <v>79</v>
      </c>
      <c r="B28" s="20" t="s">
        <v>390</v>
      </c>
      <c r="C28" s="21">
        <v>227</v>
      </c>
      <c r="D28" s="26"/>
      <c r="F28" s="31"/>
      <c r="G28" s="31"/>
      <c r="H28" s="31"/>
      <c r="I28" s="26"/>
    </row>
    <row r="29" spans="1:9" s="24" customFormat="1" x14ac:dyDescent="0.2">
      <c r="A29" s="20" t="s">
        <v>302</v>
      </c>
      <c r="B29" s="20" t="s">
        <v>388</v>
      </c>
      <c r="C29" s="21">
        <v>260</v>
      </c>
      <c r="D29" s="26"/>
      <c r="F29" s="31"/>
      <c r="G29" s="31"/>
      <c r="H29" s="31"/>
      <c r="I29" s="26"/>
    </row>
    <row r="30" spans="1:9" s="24" customFormat="1" x14ac:dyDescent="0.2">
      <c r="A30" s="20" t="s">
        <v>60</v>
      </c>
      <c r="B30" s="20" t="s">
        <v>395</v>
      </c>
      <c r="C30" s="21">
        <v>227.04</v>
      </c>
      <c r="D30" s="26"/>
      <c r="F30" s="31"/>
      <c r="G30" s="31"/>
      <c r="H30" s="31"/>
      <c r="I30" s="26"/>
    </row>
    <row r="31" spans="1:9" s="24" customFormat="1" x14ac:dyDescent="0.2">
      <c r="A31" s="14"/>
      <c r="B31" s="14"/>
      <c r="C31" s="14"/>
      <c r="D31" s="26"/>
      <c r="F31" s="31"/>
      <c r="G31" s="31"/>
      <c r="H31" s="31"/>
      <c r="I31" s="26"/>
    </row>
    <row r="32" spans="1:9" s="24" customFormat="1" x14ac:dyDescent="0.2">
      <c r="A32"/>
      <c r="B32"/>
      <c r="C32"/>
      <c r="D32" s="26"/>
      <c r="F32" s="26"/>
      <c r="G32" s="26"/>
      <c r="H32" s="26"/>
      <c r="I32" s="26"/>
    </row>
    <row r="33" spans="1:9" s="24" customFormat="1" x14ac:dyDescent="0.2">
      <c r="A33" s="26"/>
      <c r="B33" s="26"/>
      <c r="C33"/>
      <c r="D33" s="26"/>
      <c r="F33" s="68" t="s">
        <v>330</v>
      </c>
      <c r="G33" s="26"/>
      <c r="H33" s="26"/>
      <c r="I33" s="26"/>
    </row>
    <row r="34" spans="1:9" s="24" customFormat="1" x14ac:dyDescent="0.2">
      <c r="A34"/>
      <c r="B34"/>
      <c r="C34" s="26"/>
      <c r="D34" s="26"/>
      <c r="F34" s="25">
        <f>(H8+H11)/2</f>
        <v>1933.51</v>
      </c>
      <c r="G34" s="26"/>
      <c r="H34" s="26"/>
      <c r="I34" s="26"/>
    </row>
    <row r="35" spans="1:9" s="24" customFormat="1" x14ac:dyDescent="0.2">
      <c r="B35"/>
      <c r="C35" s="26"/>
      <c r="D35" s="26"/>
      <c r="F35" s="26"/>
      <c r="G35" s="26"/>
      <c r="H35" s="26"/>
      <c r="I35" s="26"/>
    </row>
    <row r="36" spans="1:9" s="26" customFormat="1" x14ac:dyDescent="0.2">
      <c r="A36" s="44" t="s">
        <v>540</v>
      </c>
      <c r="B36" s="44" t="s">
        <v>541</v>
      </c>
      <c r="F36" s="24"/>
      <c r="G36" s="24"/>
      <c r="H36" s="71"/>
    </row>
    <row r="37" spans="1:9" s="26" customFormat="1" x14ac:dyDescent="0.2">
      <c r="A37" t="s">
        <v>537</v>
      </c>
      <c r="B37">
        <v>12351.43</v>
      </c>
      <c r="F37" s="24"/>
      <c r="G37" s="24"/>
      <c r="H37" s="71"/>
    </row>
    <row r="38" spans="1:9" s="24" customFormat="1" x14ac:dyDescent="0.2">
      <c r="A38" s="78" t="s">
        <v>538</v>
      </c>
      <c r="B38" s="78">
        <v>19298.759999999998</v>
      </c>
      <c r="C38"/>
      <c r="D38" s="26"/>
      <c r="F38" s="26"/>
      <c r="G38" s="26"/>
      <c r="H38" s="26"/>
    </row>
    <row r="39" spans="1:9" s="24" customFormat="1" x14ac:dyDescent="0.2">
      <c r="B39">
        <v>31650.19</v>
      </c>
      <c r="C39"/>
      <c r="D39" s="26"/>
      <c r="F39"/>
      <c r="G39" s="26"/>
      <c r="H39" s="26"/>
    </row>
    <row r="40" spans="1:9" s="26" customFormat="1" x14ac:dyDescent="0.2">
      <c r="A40" s="24"/>
      <c r="B40"/>
      <c r="C40"/>
    </row>
    <row r="41" spans="1:9" s="26" customFormat="1" x14ac:dyDescent="0.2">
      <c r="A41" t="s">
        <v>559</v>
      </c>
      <c r="B41"/>
      <c r="C41"/>
      <c r="H41" s="24"/>
    </row>
    <row r="42" spans="1:9" s="26" customFormat="1" x14ac:dyDescent="0.2">
      <c r="A42" t="s">
        <v>560</v>
      </c>
      <c r="B42"/>
      <c r="C42"/>
      <c r="H42" s="24"/>
      <c r="I42" s="24"/>
    </row>
    <row r="43" spans="1:9" s="26" customFormat="1" x14ac:dyDescent="0.2">
      <c r="A43"/>
      <c r="C43"/>
      <c r="I43" s="24"/>
    </row>
    <row r="44" spans="1:9" s="24" customFormat="1" x14ac:dyDescent="0.2">
      <c r="A44"/>
      <c r="B44" s="26"/>
      <c r="C44"/>
      <c r="D44" s="77"/>
      <c r="F44" s="26"/>
      <c r="G44" s="26"/>
      <c r="H44" s="26"/>
    </row>
    <row r="45" spans="1:9" s="26" customFormat="1" x14ac:dyDescent="0.2">
      <c r="A45"/>
      <c r="C45"/>
    </row>
    <row r="46" spans="1:9" s="26" customFormat="1" ht="32" x14ac:dyDescent="0.2">
      <c r="A46" s="79" t="s">
        <v>558</v>
      </c>
      <c r="C46"/>
      <c r="H46" s="24"/>
    </row>
    <row r="47" spans="1:9" s="26" customFormat="1" x14ac:dyDescent="0.2">
      <c r="C47"/>
      <c r="G47" s="24"/>
      <c r="H47" s="24"/>
    </row>
    <row r="48" spans="1:9" s="24" customFormat="1" x14ac:dyDescent="0.2">
      <c r="A48" s="26"/>
      <c r="B48" s="26"/>
      <c r="C48"/>
      <c r="D48" s="26"/>
      <c r="F48" s="26"/>
      <c r="G48" s="26"/>
      <c r="I48"/>
    </row>
    <row r="49" spans="1:9" s="24" customFormat="1" x14ac:dyDescent="0.2">
      <c r="A49" s="26"/>
      <c r="B49" s="26"/>
      <c r="C49"/>
      <c r="D49" s="26"/>
      <c r="F49" s="26"/>
      <c r="G49" s="26"/>
      <c r="H49" s="26"/>
      <c r="I49"/>
    </row>
    <row r="50" spans="1:9" s="24" customFormat="1" x14ac:dyDescent="0.2">
      <c r="A50" s="26"/>
      <c r="B50" s="26"/>
      <c r="C50"/>
      <c r="D50" s="26"/>
      <c r="F50" s="26"/>
      <c r="G50" s="26"/>
      <c r="H50" s="26"/>
      <c r="I50" s="26"/>
    </row>
    <row r="51" spans="1:9" s="26" customFormat="1" x14ac:dyDescent="0.2">
      <c r="C51"/>
      <c r="H51"/>
    </row>
    <row r="52" spans="1:9" s="26" customFormat="1" x14ac:dyDescent="0.2">
      <c r="C52"/>
      <c r="H52"/>
      <c r="I52"/>
    </row>
    <row r="53" spans="1:9" x14ac:dyDescent="0.2">
      <c r="A53" s="26"/>
      <c r="B53" s="26"/>
      <c r="F53" s="26"/>
      <c r="G53" s="26"/>
      <c r="H53" s="26"/>
    </row>
    <row r="54" spans="1:9" x14ac:dyDescent="0.2">
      <c r="A54" s="26"/>
      <c r="B54" s="26"/>
      <c r="G54" s="26"/>
      <c r="H54" s="26"/>
    </row>
    <row r="55" spans="1:9" s="26" customFormat="1" x14ac:dyDescent="0.2">
      <c r="C55"/>
      <c r="F55"/>
      <c r="H55"/>
      <c r="I55"/>
    </row>
    <row r="56" spans="1:9" s="26" customFormat="1" x14ac:dyDescent="0.2">
      <c r="C56"/>
      <c r="G56"/>
      <c r="H56"/>
      <c r="I56"/>
    </row>
    <row r="57" spans="1:9" x14ac:dyDescent="0.2">
      <c r="A57" s="26"/>
      <c r="B57" s="26"/>
      <c r="F57" s="26"/>
    </row>
    <row r="58" spans="1:9" x14ac:dyDescent="0.2">
      <c r="A58" s="26"/>
      <c r="B58" s="26"/>
    </row>
    <row r="59" spans="1:9" x14ac:dyDescent="0.2">
      <c r="A59" s="26"/>
      <c r="B59" s="26"/>
    </row>
    <row r="60" spans="1:9" x14ac:dyDescent="0.2">
      <c r="A60" s="26"/>
      <c r="B60" s="26"/>
    </row>
    <row r="61" spans="1:9" x14ac:dyDescent="0.2">
      <c r="A61" s="26"/>
      <c r="B61" s="26"/>
    </row>
    <row r="62" spans="1:9" x14ac:dyDescent="0.2">
      <c r="A62" s="26"/>
      <c r="B62" s="26"/>
    </row>
    <row r="63" spans="1:9" x14ac:dyDescent="0.2">
      <c r="A63" s="26"/>
      <c r="B63" s="26"/>
    </row>
    <row r="64" spans="1:9" x14ac:dyDescent="0.2">
      <c r="A64" s="26"/>
      <c r="B64" s="26"/>
    </row>
    <row r="65" spans="1:2" x14ac:dyDescent="0.2">
      <c r="A65" s="26"/>
      <c r="B65" s="26"/>
    </row>
    <row r="66" spans="1:2" x14ac:dyDescent="0.2">
      <c r="A66" s="26"/>
      <c r="B66" s="26"/>
    </row>
    <row r="67" spans="1:2" x14ac:dyDescent="0.2">
      <c r="A67" s="26"/>
      <c r="B67" s="26"/>
    </row>
    <row r="68" spans="1:2" x14ac:dyDescent="0.2">
      <c r="A68" s="26"/>
      <c r="B68" s="26"/>
    </row>
    <row r="69" spans="1:2" x14ac:dyDescent="0.2">
      <c r="A69" s="26"/>
      <c r="B69" s="26"/>
    </row>
    <row r="70" spans="1:2" x14ac:dyDescent="0.2">
      <c r="A70" s="26"/>
      <c r="B70" s="26"/>
    </row>
  </sheetData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9"/>
  <sheetViews>
    <sheetView workbookViewId="0">
      <selection activeCell="A28" sqref="A28:C28"/>
    </sheetView>
  </sheetViews>
  <sheetFormatPr baseColWidth="10" defaultColWidth="8.83203125" defaultRowHeight="15" x14ac:dyDescent="0.2"/>
  <cols>
    <col min="1" max="1" width="42.1640625" bestFit="1" customWidth="1"/>
    <col min="2" max="2" width="18.6640625" bestFit="1" customWidth="1"/>
    <col min="3" max="3" width="20.5" bestFit="1" customWidth="1"/>
    <col min="4" max="4" width="16.5" bestFit="1" customWidth="1"/>
    <col min="5" max="5" width="10.6640625" customWidth="1"/>
    <col min="6" max="6" width="30.6640625" bestFit="1" customWidth="1"/>
    <col min="7" max="7" width="29.6640625" bestFit="1" customWidth="1"/>
    <col min="8" max="8" width="15.33203125" bestFit="1" customWidth="1"/>
    <col min="9" max="9" width="9.5" customWidth="1"/>
    <col min="10" max="10" width="57.1640625" bestFit="1" customWidth="1"/>
    <col min="11" max="11" width="30.3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535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24">
        <v>3153.51</v>
      </c>
      <c r="C3" s="24">
        <v>3153.51</v>
      </c>
      <c r="H3" s="26"/>
    </row>
    <row r="4" spans="1:11" x14ac:dyDescent="0.2">
      <c r="A4" s="26" t="s">
        <v>265</v>
      </c>
      <c r="B4">
        <v>1264.97</v>
      </c>
      <c r="C4">
        <v>1267.97</v>
      </c>
      <c r="H4" s="26"/>
    </row>
    <row r="5" spans="1:11" s="26" customFormat="1" x14ac:dyDescent="0.2">
      <c r="A5" s="43"/>
      <c r="B5" s="43"/>
      <c r="C5" s="43"/>
      <c r="D5"/>
      <c r="E5"/>
      <c r="J5" s="26" t="s">
        <v>552</v>
      </c>
    </row>
    <row r="6" spans="1:11" s="26" customFormat="1" x14ac:dyDescent="0.2">
      <c r="A6" s="43"/>
      <c r="B6" s="43"/>
      <c r="C6" s="43"/>
      <c r="D6"/>
      <c r="E6"/>
      <c r="H6" s="44"/>
      <c r="J6" s="26" t="s">
        <v>553</v>
      </c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4418.4800000000005</v>
      </c>
      <c r="G8" s="27">
        <f>C9+C10+C11+C12+C13+C14+C15+C16+C17+C18+C19+C20+C21</f>
        <v>4112.54</v>
      </c>
      <c r="H8" s="27">
        <f>F8-G8</f>
        <v>305.94000000000051</v>
      </c>
    </row>
    <row r="9" spans="1:11" s="24" customFormat="1" x14ac:dyDescent="0.2">
      <c r="A9" s="20" t="s">
        <v>293</v>
      </c>
      <c r="B9" s="20" t="s">
        <v>389</v>
      </c>
      <c r="C9" s="20">
        <v>1580.28</v>
      </c>
      <c r="D9" s="26"/>
      <c r="F9" s="31"/>
      <c r="G9" s="31"/>
      <c r="H9" s="67"/>
      <c r="I9" s="26"/>
      <c r="J9" s="24">
        <v>3153.51</v>
      </c>
      <c r="K9" s="24" t="s">
        <v>557</v>
      </c>
    </row>
    <row r="10" spans="1:11" s="24" customFormat="1" x14ac:dyDescent="0.2">
      <c r="A10" s="20" t="s">
        <v>525</v>
      </c>
      <c r="B10" s="20" t="s">
        <v>389</v>
      </c>
      <c r="C10" s="20">
        <v>38.049999999999997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316</v>
      </c>
      <c r="B11" s="20" t="s">
        <v>403</v>
      </c>
      <c r="C11" s="21">
        <v>570.91999999999996</v>
      </c>
      <c r="D11" s="26"/>
      <c r="F11" s="68"/>
      <c r="G11" s="68"/>
      <c r="H11" s="68"/>
      <c r="I11" s="26"/>
    </row>
    <row r="12" spans="1:11" s="24" customFormat="1" x14ac:dyDescent="0.2">
      <c r="A12" s="20" t="s">
        <v>536</v>
      </c>
      <c r="B12" s="20" t="s">
        <v>402</v>
      </c>
      <c r="C12" s="21">
        <v>412</v>
      </c>
      <c r="D12" s="26"/>
      <c r="F12" s="33">
        <f>B3+B4</f>
        <v>4418.4800000000005</v>
      </c>
      <c r="G12" s="27">
        <f>C24+C25+C26+C27+C28</f>
        <v>797.52</v>
      </c>
      <c r="H12" s="27">
        <f>F12-G12</f>
        <v>3620.9600000000005</v>
      </c>
      <c r="I12" s="26"/>
    </row>
    <row r="13" spans="1:11" s="24" customFormat="1" x14ac:dyDescent="0.2">
      <c r="A13" s="20" t="s">
        <v>517</v>
      </c>
      <c r="B13" s="20" t="s">
        <v>403</v>
      </c>
      <c r="C13" s="21">
        <v>150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76</v>
      </c>
      <c r="B14" s="20" t="s">
        <v>402</v>
      </c>
      <c r="C14" s="21">
        <v>14.99</v>
      </c>
      <c r="D14" s="26"/>
      <c r="F14" s="31"/>
      <c r="G14" s="31"/>
      <c r="H14" s="31"/>
      <c r="I14" s="26"/>
      <c r="J14" s="26"/>
      <c r="K14" s="26"/>
    </row>
    <row r="15" spans="1:11" s="24" customFormat="1" x14ac:dyDescent="0.2">
      <c r="A15" s="20" t="s">
        <v>521</v>
      </c>
      <c r="B15" s="20" t="s">
        <v>518</v>
      </c>
      <c r="C15" s="21">
        <v>542.02</v>
      </c>
      <c r="D15" s="26"/>
      <c r="F15" s="31"/>
      <c r="G15" s="31"/>
      <c r="H15" s="31"/>
    </row>
    <row r="16" spans="1:11" s="24" customFormat="1" x14ac:dyDescent="0.2">
      <c r="A16" s="20" t="s">
        <v>453</v>
      </c>
      <c r="B16" s="20" t="s">
        <v>398</v>
      </c>
      <c r="C16" s="21">
        <v>25</v>
      </c>
      <c r="D16" s="26"/>
      <c r="F16" s="31"/>
      <c r="G16" s="31"/>
      <c r="H16" s="31"/>
    </row>
    <row r="17" spans="1:10" s="24" customFormat="1" x14ac:dyDescent="0.2">
      <c r="A17" s="20" t="s">
        <v>471</v>
      </c>
      <c r="B17" s="20" t="s">
        <v>401</v>
      </c>
      <c r="C17" s="21">
        <v>153.66</v>
      </c>
      <c r="D17" s="26"/>
      <c r="F17" s="31"/>
      <c r="G17" s="31"/>
      <c r="H17" s="31"/>
    </row>
    <row r="18" spans="1:10" s="24" customFormat="1" x14ac:dyDescent="0.2">
      <c r="A18" s="20" t="s">
        <v>526</v>
      </c>
      <c r="B18" s="20" t="s">
        <v>391</v>
      </c>
      <c r="C18" s="55">
        <v>35</v>
      </c>
      <c r="F18" s="31"/>
      <c r="G18" s="31"/>
      <c r="H18" s="31"/>
    </row>
    <row r="19" spans="1:10" s="24" customFormat="1" x14ac:dyDescent="0.2">
      <c r="A19" s="20" t="s">
        <v>442</v>
      </c>
      <c r="B19" s="20" t="s">
        <v>523</v>
      </c>
      <c r="C19" s="21">
        <v>68</v>
      </c>
      <c r="D19" s="26"/>
      <c r="F19" s="31"/>
      <c r="G19" s="31"/>
      <c r="H19" s="31"/>
      <c r="I19" s="26"/>
    </row>
    <row r="20" spans="1:10" s="24" customFormat="1" x14ac:dyDescent="0.2">
      <c r="A20" s="20" t="s">
        <v>520</v>
      </c>
      <c r="B20" s="20" t="s">
        <v>400</v>
      </c>
      <c r="C20" s="21">
        <v>299.61</v>
      </c>
      <c r="D20" s="26"/>
      <c r="F20" s="31"/>
      <c r="G20" s="31"/>
      <c r="H20" s="31"/>
      <c r="I20" s="26"/>
    </row>
    <row r="21" spans="1:10" s="24" customFormat="1" x14ac:dyDescent="0.2">
      <c r="A21" s="20" t="s">
        <v>470</v>
      </c>
      <c r="B21" s="20" t="s">
        <v>400</v>
      </c>
      <c r="C21" s="21">
        <v>223.01</v>
      </c>
      <c r="D21" s="26"/>
      <c r="F21" s="31"/>
      <c r="G21" s="31"/>
      <c r="H21" s="31"/>
      <c r="I21" s="26"/>
      <c r="J21" s="41" t="s">
        <v>554</v>
      </c>
    </row>
    <row r="22" spans="1:10" s="24" customFormat="1" x14ac:dyDescent="0.2">
      <c r="A22" s="29"/>
      <c r="B22" s="29"/>
      <c r="C22" s="30"/>
      <c r="D22" s="26"/>
      <c r="F22" s="31"/>
      <c r="G22" s="31"/>
      <c r="H22" s="31"/>
      <c r="I22" s="26"/>
      <c r="J22" s="41" t="s">
        <v>547</v>
      </c>
    </row>
    <row r="23" spans="1:10" s="24" customFormat="1" x14ac:dyDescent="0.2">
      <c r="A23" s="32" t="s">
        <v>13</v>
      </c>
      <c r="B23" s="25"/>
      <c r="C23" s="27"/>
      <c r="D23" s="26"/>
      <c r="F23" s="31"/>
      <c r="G23" s="31"/>
      <c r="H23" s="31"/>
      <c r="I23" s="26"/>
    </row>
    <row r="24" spans="1:10" s="24" customFormat="1" x14ac:dyDescent="0.2">
      <c r="A24" s="20" t="s">
        <v>267</v>
      </c>
      <c r="B24" s="20" t="s">
        <v>404</v>
      </c>
      <c r="C24" s="55">
        <v>33.4</v>
      </c>
      <c r="D24" s="26"/>
      <c r="F24" s="31"/>
      <c r="G24" s="31"/>
      <c r="H24" s="31"/>
      <c r="I24" s="26"/>
      <c r="J24" s="41" t="s">
        <v>555</v>
      </c>
    </row>
    <row r="25" spans="1:10" s="24" customFormat="1" x14ac:dyDescent="0.2">
      <c r="A25" s="20" t="s">
        <v>438</v>
      </c>
      <c r="B25" s="20" t="s">
        <v>405</v>
      </c>
      <c r="C25" s="21">
        <v>86.5</v>
      </c>
      <c r="D25" s="26"/>
      <c r="F25" s="31"/>
      <c r="G25" s="31"/>
      <c r="H25" s="31"/>
      <c r="I25" s="26"/>
      <c r="J25" s="41" t="s">
        <v>548</v>
      </c>
    </row>
    <row r="26" spans="1:10" s="24" customFormat="1" x14ac:dyDescent="0.2">
      <c r="A26" s="20" t="s">
        <v>79</v>
      </c>
      <c r="B26" s="20" t="s">
        <v>390</v>
      </c>
      <c r="C26" s="21">
        <v>227</v>
      </c>
      <c r="D26" s="26"/>
      <c r="F26" s="31"/>
      <c r="G26" s="31"/>
      <c r="H26" s="31"/>
      <c r="I26" s="26"/>
    </row>
    <row r="27" spans="1:10" s="24" customFormat="1" x14ac:dyDescent="0.2">
      <c r="A27" s="20" t="s">
        <v>302</v>
      </c>
      <c r="B27" s="20" t="s">
        <v>388</v>
      </c>
      <c r="C27" s="21">
        <v>269</v>
      </c>
      <c r="D27" s="26"/>
      <c r="F27" s="31"/>
      <c r="G27" s="31"/>
      <c r="H27" s="31"/>
      <c r="I27" s="26"/>
      <c r="J27" s="41" t="s">
        <v>556</v>
      </c>
    </row>
    <row r="28" spans="1:10" s="24" customFormat="1" x14ac:dyDescent="0.2">
      <c r="A28" s="20" t="s">
        <v>60</v>
      </c>
      <c r="B28" s="20" t="s">
        <v>395</v>
      </c>
      <c r="C28" s="21">
        <v>181.62</v>
      </c>
      <c r="D28" s="26"/>
      <c r="F28" s="31"/>
      <c r="G28" s="31"/>
      <c r="H28" s="31"/>
      <c r="I28" s="26"/>
      <c r="J28" s="41" t="s">
        <v>549</v>
      </c>
    </row>
    <row r="29" spans="1:10" s="24" customFormat="1" x14ac:dyDescent="0.2">
      <c r="A29" s="14"/>
      <c r="B29" s="14"/>
      <c r="C29" s="14"/>
      <c r="D29" s="26"/>
      <c r="F29" s="31"/>
      <c r="G29" s="31"/>
      <c r="H29" s="31"/>
      <c r="I29" s="26"/>
    </row>
    <row r="30" spans="1:10" s="24" customFormat="1" x14ac:dyDescent="0.2">
      <c r="A30"/>
      <c r="B30"/>
      <c r="C30"/>
      <c r="D30" s="26"/>
      <c r="F30" s="31"/>
      <c r="G30" s="31"/>
      <c r="H30" s="31"/>
      <c r="I30" s="26"/>
      <c r="J30" s="41" t="s">
        <v>550</v>
      </c>
    </row>
    <row r="31" spans="1:10" s="24" customFormat="1" x14ac:dyDescent="0.2">
      <c r="A31" s="26"/>
      <c r="B31" s="26"/>
      <c r="C31"/>
      <c r="D31" s="26"/>
      <c r="F31" s="31"/>
      <c r="G31" s="31"/>
      <c r="H31" s="31"/>
      <c r="I31" s="26"/>
    </row>
    <row r="32" spans="1:10" s="24" customFormat="1" x14ac:dyDescent="0.2">
      <c r="A32"/>
      <c r="B32"/>
      <c r="C32" s="26"/>
      <c r="D32" s="26"/>
      <c r="F32" s="26"/>
      <c r="G32" s="26"/>
      <c r="H32" s="26"/>
      <c r="I32" s="26"/>
      <c r="J32" s="41" t="s">
        <v>551</v>
      </c>
    </row>
    <row r="33" spans="1:9" s="24" customFormat="1" x14ac:dyDescent="0.2">
      <c r="B33"/>
      <c r="C33" s="26"/>
      <c r="D33" s="26"/>
      <c r="F33" s="68" t="s">
        <v>330</v>
      </c>
      <c r="G33" s="26"/>
      <c r="H33" s="26"/>
      <c r="I33" s="26"/>
    </row>
    <row r="34" spans="1:9" s="26" customFormat="1" x14ac:dyDescent="0.2">
      <c r="A34" s="26" t="s">
        <v>540</v>
      </c>
      <c r="B34" s="26" t="s">
        <v>541</v>
      </c>
      <c r="C34" s="26" t="s">
        <v>542</v>
      </c>
      <c r="F34" s="25">
        <f>(H8+H12)/2</f>
        <v>1963.4500000000005</v>
      </c>
    </row>
    <row r="35" spans="1:9" s="26" customFormat="1" x14ac:dyDescent="0.2">
      <c r="A35" t="s">
        <v>537</v>
      </c>
      <c r="B35">
        <v>12351.43</v>
      </c>
      <c r="C35" s="26">
        <v>184</v>
      </c>
    </row>
    <row r="36" spans="1:9" s="24" customFormat="1" x14ac:dyDescent="0.2">
      <c r="A36" s="24" t="s">
        <v>538</v>
      </c>
      <c r="B36">
        <v>19298.759999999998</v>
      </c>
      <c r="C36">
        <v>411.14</v>
      </c>
      <c r="D36" s="26"/>
      <c r="H36" s="71"/>
    </row>
    <row r="37" spans="1:9" s="24" customFormat="1" x14ac:dyDescent="0.2">
      <c r="A37" s="24" t="s">
        <v>539</v>
      </c>
      <c r="B37">
        <v>0</v>
      </c>
      <c r="C37"/>
      <c r="D37" s="26"/>
      <c r="H37" s="71"/>
    </row>
    <row r="38" spans="1:9" s="26" customFormat="1" x14ac:dyDescent="0.2">
      <c r="A38" s="24"/>
      <c r="B38"/>
      <c r="C38"/>
    </row>
    <row r="39" spans="1:9" s="26" customFormat="1" x14ac:dyDescent="0.2">
      <c r="A39" s="24"/>
      <c r="B39"/>
      <c r="C39"/>
      <c r="D39" s="26" t="s">
        <v>543</v>
      </c>
      <c r="F39"/>
    </row>
    <row r="40" spans="1:9" s="26" customFormat="1" x14ac:dyDescent="0.2">
      <c r="A40" s="24"/>
      <c r="B40"/>
      <c r="C40"/>
      <c r="D40" s="26" t="s">
        <v>544</v>
      </c>
      <c r="I40" s="24"/>
    </row>
    <row r="41" spans="1:9" s="26" customFormat="1" x14ac:dyDescent="0.2">
      <c r="A41" s="24"/>
      <c r="B41"/>
      <c r="C41"/>
      <c r="H41" s="24"/>
      <c r="I41" s="24"/>
    </row>
    <row r="42" spans="1:9" s="24" customFormat="1" x14ac:dyDescent="0.2">
      <c r="B42" s="26"/>
      <c r="C42"/>
      <c r="D42" s="77">
        <v>43647</v>
      </c>
      <c r="F42" s="26"/>
      <c r="G42" s="26"/>
    </row>
    <row r="43" spans="1:9" s="26" customFormat="1" x14ac:dyDescent="0.2">
      <c r="A43" s="24"/>
      <c r="C43"/>
    </row>
    <row r="44" spans="1:9" s="26" customFormat="1" x14ac:dyDescent="0.2">
      <c r="A44" s="24"/>
      <c r="C44"/>
    </row>
    <row r="45" spans="1:9" s="26" customFormat="1" x14ac:dyDescent="0.2">
      <c r="A45" s="24"/>
      <c r="C45"/>
    </row>
    <row r="46" spans="1:9" s="24" customFormat="1" x14ac:dyDescent="0.2">
      <c r="A46" s="26"/>
      <c r="B46" s="26"/>
      <c r="C46"/>
      <c r="D46" s="26"/>
      <c r="F46" s="26"/>
      <c r="G46" s="26"/>
      <c r="I46"/>
    </row>
    <row r="47" spans="1:9" s="24" customFormat="1" x14ac:dyDescent="0.2">
      <c r="A47" s="26"/>
      <c r="B47" s="26"/>
      <c r="C47"/>
      <c r="D47" s="26"/>
      <c r="F47" s="26"/>
      <c r="I47"/>
    </row>
    <row r="48" spans="1:9" s="24" customFormat="1" x14ac:dyDescent="0.2">
      <c r="A48" s="26"/>
      <c r="B48" s="26"/>
      <c r="C48"/>
      <c r="D48" s="26"/>
      <c r="F48" s="26"/>
      <c r="G48" s="26"/>
      <c r="I48" s="26"/>
    </row>
    <row r="49" spans="1:9" s="26" customFormat="1" x14ac:dyDescent="0.2">
      <c r="C49"/>
    </row>
    <row r="50" spans="1:9" s="26" customFormat="1" x14ac:dyDescent="0.2">
      <c r="C50"/>
      <c r="I50"/>
    </row>
    <row r="51" spans="1:9" x14ac:dyDescent="0.2">
      <c r="A51" s="26"/>
      <c r="B51" s="26"/>
      <c r="F51" s="26"/>
      <c r="G51" s="26"/>
    </row>
    <row r="52" spans="1:9" x14ac:dyDescent="0.2">
      <c r="A52" s="26"/>
      <c r="B52" s="26"/>
      <c r="F52" s="26"/>
      <c r="G52" s="26"/>
    </row>
    <row r="53" spans="1:9" s="26" customFormat="1" x14ac:dyDescent="0.2">
      <c r="C53"/>
      <c r="I53"/>
    </row>
    <row r="54" spans="1:9" s="26" customFormat="1" x14ac:dyDescent="0.2">
      <c r="C54"/>
      <c r="F54"/>
      <c r="I54"/>
    </row>
    <row r="55" spans="1:9" x14ac:dyDescent="0.2">
      <c r="A55" s="26"/>
      <c r="B55" s="26"/>
      <c r="G55" s="26"/>
    </row>
    <row r="56" spans="1:9" x14ac:dyDescent="0.2">
      <c r="A56" s="26"/>
      <c r="B56" s="26"/>
      <c r="F56" s="26"/>
    </row>
    <row r="57" spans="1:9" x14ac:dyDescent="0.2">
      <c r="A57" s="26"/>
      <c r="B57" s="26"/>
      <c r="F57" s="26"/>
    </row>
    <row r="58" spans="1:9" x14ac:dyDescent="0.2">
      <c r="A58" s="26"/>
      <c r="B58" s="26"/>
    </row>
    <row r="59" spans="1:9" x14ac:dyDescent="0.2">
      <c r="A59" s="26"/>
      <c r="B59" s="26"/>
    </row>
    <row r="60" spans="1:9" x14ac:dyDescent="0.2">
      <c r="A60" s="26"/>
      <c r="B60" s="26"/>
    </row>
    <row r="61" spans="1:9" x14ac:dyDescent="0.2">
      <c r="A61" s="26"/>
      <c r="B61" s="26"/>
    </row>
    <row r="62" spans="1:9" x14ac:dyDescent="0.2">
      <c r="A62" s="26"/>
      <c r="B62" s="26"/>
    </row>
    <row r="63" spans="1:9" x14ac:dyDescent="0.2">
      <c r="A63" s="26"/>
      <c r="B63" s="26"/>
    </row>
    <row r="64" spans="1:9" x14ac:dyDescent="0.2">
      <c r="A64" s="26"/>
      <c r="B64" s="26"/>
    </row>
    <row r="65" spans="1:2" x14ac:dyDescent="0.2">
      <c r="A65" s="26"/>
      <c r="B65" s="26"/>
    </row>
    <row r="66" spans="1:2" x14ac:dyDescent="0.2">
      <c r="A66" s="26"/>
      <c r="B66" s="26"/>
    </row>
    <row r="67" spans="1:2" x14ac:dyDescent="0.2">
      <c r="A67" s="26"/>
      <c r="B67" s="26"/>
    </row>
    <row r="68" spans="1:2" x14ac:dyDescent="0.2">
      <c r="A68" s="26"/>
      <c r="B68" s="26"/>
    </row>
    <row r="69" spans="1:2" x14ac:dyDescent="0.2">
      <c r="A69" s="26"/>
      <c r="B69" s="26"/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73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42.1640625" bestFit="1" customWidth="1"/>
    <col min="2" max="2" width="57.1640625" bestFit="1" customWidth="1"/>
    <col min="3" max="3" width="16.83203125" bestFit="1" customWidth="1"/>
    <col min="4" max="4" width="11.33203125" customWidth="1"/>
    <col min="5" max="5" width="20.6640625" bestFit="1" customWidth="1"/>
    <col min="6" max="6" width="30.6640625" bestFit="1" customWidth="1"/>
    <col min="7" max="7" width="29.6640625" bestFit="1" customWidth="1"/>
    <col min="8" max="8" width="15.3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534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2957.69</v>
      </c>
      <c r="C3" s="51">
        <v>2957.69</v>
      </c>
      <c r="H3" s="26"/>
    </row>
    <row r="4" spans="1:11" x14ac:dyDescent="0.2">
      <c r="A4" s="26" t="s">
        <v>265</v>
      </c>
      <c r="B4">
        <v>1264.97</v>
      </c>
      <c r="C4">
        <v>1267.97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4222.66</v>
      </c>
      <c r="G8" s="27">
        <f>C9+C10+C11+C12+C13+C14+C15+C16+C17+C18+C19+C20+C21+C22</f>
        <v>3830.4299999999994</v>
      </c>
      <c r="H8" s="27">
        <f>F8-G8</f>
        <v>392.23000000000047</v>
      </c>
    </row>
    <row r="9" spans="1:11" s="24" customFormat="1" x14ac:dyDescent="0.2">
      <c r="A9" s="20" t="s">
        <v>514</v>
      </c>
      <c r="B9" s="20" t="s">
        <v>396</v>
      </c>
      <c r="C9" s="21">
        <v>45</v>
      </c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1580.28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525</v>
      </c>
      <c r="B11" s="20" t="s">
        <v>389</v>
      </c>
      <c r="C11" s="20">
        <v>38.049999999999997</v>
      </c>
      <c r="D11" s="26"/>
      <c r="F11" s="68"/>
      <c r="G11" s="68"/>
      <c r="H11" s="68"/>
      <c r="I11" s="26"/>
    </row>
    <row r="12" spans="1:11" s="24" customFormat="1" x14ac:dyDescent="0.2">
      <c r="A12" s="20" t="s">
        <v>311</v>
      </c>
      <c r="B12" s="20" t="s">
        <v>394</v>
      </c>
      <c r="C12" s="21">
        <v>74.89</v>
      </c>
      <c r="D12" s="26"/>
      <c r="F12" s="33">
        <f>B3+B4</f>
        <v>4222.66</v>
      </c>
      <c r="G12" s="27">
        <f>C25+C26+C27+C28+C29+C30+C31+C32</f>
        <v>941.37</v>
      </c>
      <c r="H12" s="27">
        <f>F12-G12</f>
        <v>3281.29</v>
      </c>
      <c r="I12" s="26"/>
    </row>
    <row r="13" spans="1:11" s="24" customFormat="1" x14ac:dyDescent="0.2">
      <c r="A13" s="20" t="s">
        <v>316</v>
      </c>
      <c r="B13" s="20" t="s">
        <v>392</v>
      </c>
      <c r="C13" s="21">
        <v>570.91999999999996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517</v>
      </c>
      <c r="B14" s="20" t="s">
        <v>403</v>
      </c>
      <c r="C14" s="21">
        <v>150</v>
      </c>
      <c r="D14" s="26"/>
      <c r="F14" s="31"/>
      <c r="G14" s="31"/>
      <c r="H14" s="31"/>
      <c r="I14" s="26"/>
      <c r="J14" s="26"/>
      <c r="K14" s="26"/>
    </row>
    <row r="15" spans="1:11" s="24" customFormat="1" x14ac:dyDescent="0.2">
      <c r="A15" s="20" t="s">
        <v>76</v>
      </c>
      <c r="B15" s="20" t="s">
        <v>402</v>
      </c>
      <c r="C15" s="21">
        <v>14.99</v>
      </c>
      <c r="D15" s="26"/>
      <c r="F15" s="31"/>
      <c r="G15" s="31"/>
      <c r="H15" s="31"/>
    </row>
    <row r="16" spans="1:11" s="24" customFormat="1" x14ac:dyDescent="0.2">
      <c r="A16" s="20" t="s">
        <v>521</v>
      </c>
      <c r="B16" s="20" t="s">
        <v>518</v>
      </c>
      <c r="C16" s="21">
        <v>542.02</v>
      </c>
      <c r="D16" s="26"/>
      <c r="F16" s="31"/>
      <c r="G16" s="31"/>
      <c r="H16" s="31"/>
    </row>
    <row r="17" spans="1:9" s="24" customFormat="1" x14ac:dyDescent="0.2">
      <c r="A17" s="20" t="s">
        <v>453</v>
      </c>
      <c r="B17" s="20" t="s">
        <v>398</v>
      </c>
      <c r="C17" s="21">
        <v>25</v>
      </c>
      <c r="D17" s="26"/>
      <c r="F17" s="31"/>
      <c r="G17" s="31"/>
      <c r="H17" s="31"/>
    </row>
    <row r="18" spans="1:9" s="24" customFormat="1" x14ac:dyDescent="0.2">
      <c r="A18" s="20" t="s">
        <v>528</v>
      </c>
      <c r="B18" s="20" t="s">
        <v>396</v>
      </c>
      <c r="C18" s="21">
        <v>45</v>
      </c>
      <c r="F18" s="31"/>
      <c r="G18" s="31"/>
      <c r="H18" s="31"/>
    </row>
    <row r="19" spans="1:9" s="24" customFormat="1" x14ac:dyDescent="0.2">
      <c r="A19" s="20" t="s">
        <v>471</v>
      </c>
      <c r="B19" s="20" t="s">
        <v>401</v>
      </c>
      <c r="C19" s="21">
        <v>153.66</v>
      </c>
      <c r="D19" s="26"/>
      <c r="F19" s="31"/>
      <c r="G19" s="31"/>
      <c r="H19" s="31"/>
      <c r="I19" s="26"/>
    </row>
    <row r="20" spans="1:9" s="24" customFormat="1" x14ac:dyDescent="0.2">
      <c r="A20" s="20" t="s">
        <v>442</v>
      </c>
      <c r="B20" s="20" t="s">
        <v>523</v>
      </c>
      <c r="C20" s="21">
        <v>68</v>
      </c>
      <c r="D20" s="26"/>
      <c r="F20" s="31"/>
      <c r="G20" s="31"/>
      <c r="H20" s="31"/>
      <c r="I20" s="26"/>
    </row>
    <row r="21" spans="1:9" s="24" customFormat="1" x14ac:dyDescent="0.2">
      <c r="A21" s="20" t="s">
        <v>520</v>
      </c>
      <c r="B21" s="20" t="s">
        <v>400</v>
      </c>
      <c r="C21" s="21">
        <v>299.61</v>
      </c>
      <c r="D21" s="26"/>
      <c r="F21" s="31"/>
      <c r="G21" s="31"/>
      <c r="H21" s="31"/>
      <c r="I21" s="26"/>
    </row>
    <row r="22" spans="1:9" s="24" customFormat="1" x14ac:dyDescent="0.2">
      <c r="A22" s="20" t="s">
        <v>470</v>
      </c>
      <c r="B22" s="20" t="s">
        <v>400</v>
      </c>
      <c r="C22" s="21">
        <v>223.01</v>
      </c>
      <c r="D22" s="26"/>
      <c r="F22" s="31"/>
      <c r="G22" s="31"/>
      <c r="H22" s="31"/>
      <c r="I22" s="26"/>
    </row>
    <row r="23" spans="1:9" s="24" customFormat="1" x14ac:dyDescent="0.2">
      <c r="A23" s="29"/>
      <c r="B23" s="29"/>
      <c r="C23" s="30"/>
      <c r="D23" s="26"/>
      <c r="F23" s="31"/>
      <c r="G23" s="31"/>
      <c r="H23" s="31"/>
      <c r="I23" s="26"/>
    </row>
    <row r="24" spans="1:9" s="24" customFormat="1" x14ac:dyDescent="0.2">
      <c r="A24" s="32" t="s">
        <v>13</v>
      </c>
      <c r="B24" s="25"/>
      <c r="C24" s="27"/>
      <c r="D24" s="26"/>
      <c r="F24" s="31"/>
      <c r="G24" s="31"/>
      <c r="H24" s="31"/>
      <c r="I24" s="26"/>
    </row>
    <row r="25" spans="1:9" s="24" customFormat="1" x14ac:dyDescent="0.2">
      <c r="A25" s="20" t="s">
        <v>529</v>
      </c>
      <c r="B25" s="20" t="s">
        <v>396</v>
      </c>
      <c r="C25" s="21">
        <v>45</v>
      </c>
      <c r="D25" s="26"/>
      <c r="F25" s="31"/>
      <c r="G25" s="31"/>
      <c r="H25" s="31"/>
      <c r="I25" s="26"/>
    </row>
    <row r="26" spans="1:9" s="24" customFormat="1" x14ac:dyDescent="0.2">
      <c r="A26" s="20" t="s">
        <v>267</v>
      </c>
      <c r="B26" s="20" t="s">
        <v>404</v>
      </c>
      <c r="C26" s="55">
        <v>33.4</v>
      </c>
      <c r="D26" s="26"/>
      <c r="F26" s="31"/>
      <c r="G26" s="31"/>
      <c r="H26" s="31"/>
      <c r="I26" s="26"/>
    </row>
    <row r="27" spans="1:9" s="24" customFormat="1" x14ac:dyDescent="0.2">
      <c r="A27" s="20" t="s">
        <v>438</v>
      </c>
      <c r="B27" s="20" t="s">
        <v>405</v>
      </c>
      <c r="C27" s="21">
        <v>86.5</v>
      </c>
      <c r="D27" s="26"/>
      <c r="F27" s="31"/>
      <c r="G27" s="31"/>
      <c r="H27" s="31"/>
      <c r="I27" s="26"/>
    </row>
    <row r="28" spans="1:9" s="24" customFormat="1" x14ac:dyDescent="0.2">
      <c r="A28" s="20" t="s">
        <v>79</v>
      </c>
      <c r="B28" s="20" t="s">
        <v>390</v>
      </c>
      <c r="C28" s="21">
        <v>227</v>
      </c>
      <c r="D28" s="26"/>
      <c r="F28" s="31"/>
      <c r="G28" s="31"/>
      <c r="H28" s="31"/>
      <c r="I28" s="26"/>
    </row>
    <row r="29" spans="1:9" s="24" customFormat="1" x14ac:dyDescent="0.2">
      <c r="A29" s="20" t="s">
        <v>302</v>
      </c>
      <c r="B29" s="20" t="s">
        <v>388</v>
      </c>
      <c r="C29" s="21">
        <v>278</v>
      </c>
      <c r="D29" s="26"/>
      <c r="F29" s="31"/>
      <c r="G29" s="31"/>
      <c r="H29" s="31"/>
      <c r="I29" s="26"/>
    </row>
    <row r="30" spans="1:9" s="24" customFormat="1" x14ac:dyDescent="0.2">
      <c r="A30" s="20" t="s">
        <v>60</v>
      </c>
      <c r="B30" s="20" t="s">
        <v>395</v>
      </c>
      <c r="C30" s="21">
        <v>181.62</v>
      </c>
      <c r="D30" s="26"/>
      <c r="F30" s="31"/>
      <c r="G30" s="31"/>
      <c r="H30" s="31"/>
      <c r="I30" s="26"/>
    </row>
    <row r="31" spans="1:9" s="24" customFormat="1" x14ac:dyDescent="0.2">
      <c r="A31" s="20" t="s">
        <v>545</v>
      </c>
      <c r="B31" s="20" t="s">
        <v>392</v>
      </c>
      <c r="C31" s="21">
        <v>44.85</v>
      </c>
      <c r="D31" s="26"/>
      <c r="F31" s="31"/>
      <c r="G31" s="31"/>
      <c r="H31" s="31"/>
      <c r="I31" s="26"/>
    </row>
    <row r="32" spans="1:9" s="24" customFormat="1" x14ac:dyDescent="0.2">
      <c r="A32" s="20" t="s">
        <v>530</v>
      </c>
      <c r="B32" s="20" t="s">
        <v>396</v>
      </c>
      <c r="C32" s="21">
        <v>45</v>
      </c>
      <c r="D32" s="26"/>
      <c r="F32" s="26"/>
      <c r="G32" s="26"/>
      <c r="H32" s="26"/>
      <c r="I32" s="26"/>
    </row>
    <row r="33" spans="1:9" s="24" customFormat="1" x14ac:dyDescent="0.2">
      <c r="A33" s="14"/>
      <c r="B33" s="14"/>
      <c r="C33" s="14"/>
      <c r="D33" s="26"/>
      <c r="F33" s="68" t="s">
        <v>330</v>
      </c>
      <c r="G33" s="26"/>
      <c r="H33" s="26"/>
      <c r="I33" s="26"/>
    </row>
    <row r="34" spans="1:9" s="26" customFormat="1" x14ac:dyDescent="0.2">
      <c r="A34"/>
      <c r="B34"/>
      <c r="C34"/>
      <c r="F34" s="25">
        <f>(H8+H12)/2</f>
        <v>1836.7600000000002</v>
      </c>
    </row>
    <row r="35" spans="1:9" s="26" customFormat="1" x14ac:dyDescent="0.2">
      <c r="C35"/>
    </row>
    <row r="36" spans="1:9" s="24" customFormat="1" x14ac:dyDescent="0.2">
      <c r="A36"/>
      <c r="B36"/>
      <c r="C36" s="26"/>
      <c r="D36" s="26"/>
      <c r="H36" s="71"/>
    </row>
    <row r="37" spans="1:9" s="24" customFormat="1" x14ac:dyDescent="0.2">
      <c r="B37"/>
      <c r="C37" s="26"/>
      <c r="D37" s="26"/>
      <c r="H37" s="71"/>
    </row>
    <row r="38" spans="1:9" s="26" customFormat="1" x14ac:dyDescent="0.2">
      <c r="A38" s="25" t="s">
        <v>464</v>
      </c>
      <c r="B38" s="25"/>
    </row>
    <row r="39" spans="1:9" s="26" customFormat="1" x14ac:dyDescent="0.2">
      <c r="A39" s="4" t="s">
        <v>265</v>
      </c>
      <c r="B39" s="4" t="s">
        <v>473</v>
      </c>
      <c r="F39"/>
    </row>
    <row r="40" spans="1:9" s="26" customFormat="1" x14ac:dyDescent="0.2">
      <c r="A40" s="20"/>
      <c r="B40" s="4" t="s">
        <v>465</v>
      </c>
      <c r="C40"/>
      <c r="I40" s="24"/>
    </row>
    <row r="41" spans="1:9" s="26" customFormat="1" x14ac:dyDescent="0.2">
      <c r="A41" s="20"/>
      <c r="B41" s="4" t="s">
        <v>466</v>
      </c>
      <c r="C41"/>
      <c r="H41" s="24"/>
      <c r="I41" s="24"/>
    </row>
    <row r="42" spans="1:9" s="24" customFormat="1" x14ac:dyDescent="0.2">
      <c r="A42" s="20"/>
      <c r="B42" s="4" t="s">
        <v>484</v>
      </c>
      <c r="C42"/>
      <c r="D42" s="26"/>
      <c r="F42" s="26"/>
      <c r="G42" s="26"/>
    </row>
    <row r="43" spans="1:9" s="26" customFormat="1" x14ac:dyDescent="0.2">
      <c r="A43" s="20"/>
      <c r="B43" s="4" t="s">
        <v>469</v>
      </c>
      <c r="C43"/>
    </row>
    <row r="44" spans="1:9" s="26" customFormat="1" x14ac:dyDescent="0.2">
      <c r="A44" s="20"/>
      <c r="B44" s="4"/>
      <c r="C44"/>
    </row>
    <row r="45" spans="1:9" s="26" customFormat="1" x14ac:dyDescent="0.2">
      <c r="A45" s="20"/>
      <c r="B45" s="4" t="s">
        <v>472</v>
      </c>
      <c r="C45"/>
    </row>
    <row r="46" spans="1:9" s="24" customFormat="1" x14ac:dyDescent="0.2">
      <c r="A46" s="20"/>
      <c r="B46" s="25" t="s">
        <v>467</v>
      </c>
      <c r="C46"/>
      <c r="D46" s="26"/>
      <c r="F46" s="26"/>
      <c r="G46" s="26"/>
      <c r="I46"/>
    </row>
    <row r="47" spans="1:9" s="24" customFormat="1" x14ac:dyDescent="0.2">
      <c r="A47" s="20"/>
      <c r="B47" s="25" t="s">
        <v>476</v>
      </c>
      <c r="C47"/>
      <c r="D47" s="26"/>
      <c r="F47" s="26"/>
      <c r="I47"/>
    </row>
    <row r="48" spans="1:9" s="24" customFormat="1" x14ac:dyDescent="0.2">
      <c r="A48" s="20"/>
      <c r="B48" s="25" t="s">
        <v>485</v>
      </c>
      <c r="C48"/>
      <c r="D48" s="26"/>
      <c r="F48" s="26"/>
      <c r="G48" s="26"/>
      <c r="I48" s="26"/>
    </row>
    <row r="49" spans="1:9" s="26" customFormat="1" x14ac:dyDescent="0.2">
      <c r="A49" s="20"/>
      <c r="B49" s="25" t="s">
        <v>468</v>
      </c>
      <c r="C49"/>
    </row>
    <row r="50" spans="1:9" s="26" customFormat="1" x14ac:dyDescent="0.2">
      <c r="C50"/>
      <c r="I50"/>
    </row>
    <row r="51" spans="1:9" x14ac:dyDescent="0.2">
      <c r="A51" s="26"/>
      <c r="B51" s="26"/>
      <c r="F51" s="26"/>
      <c r="G51" s="26"/>
    </row>
    <row r="52" spans="1:9" x14ac:dyDescent="0.2">
      <c r="A52" s="26"/>
      <c r="B52" s="26"/>
      <c r="F52" s="26"/>
      <c r="G52" s="26"/>
    </row>
    <row r="53" spans="1:9" s="26" customFormat="1" x14ac:dyDescent="0.2">
      <c r="A53" s="25" t="s">
        <v>495</v>
      </c>
      <c r="B53" s="25"/>
      <c r="C53"/>
      <c r="I53"/>
    </row>
    <row r="54" spans="1:9" s="26" customFormat="1" x14ac:dyDescent="0.2">
      <c r="A54" s="25"/>
      <c r="B54" s="25" t="s">
        <v>496</v>
      </c>
      <c r="C54"/>
      <c r="F54"/>
      <c r="I54"/>
    </row>
    <row r="55" spans="1:9" x14ac:dyDescent="0.2">
      <c r="A55" s="25"/>
      <c r="B55" s="25" t="s">
        <v>497</v>
      </c>
      <c r="G55" s="26"/>
    </row>
    <row r="56" spans="1:9" x14ac:dyDescent="0.2">
      <c r="A56" s="25"/>
      <c r="B56" s="25" t="s">
        <v>502</v>
      </c>
      <c r="F56" s="26"/>
    </row>
    <row r="57" spans="1:9" x14ac:dyDescent="0.2">
      <c r="A57" s="25"/>
      <c r="B57" s="25" t="s">
        <v>503</v>
      </c>
      <c r="F57" s="26"/>
    </row>
    <row r="58" spans="1:9" x14ac:dyDescent="0.2">
      <c r="A58" s="25"/>
      <c r="B58" s="25" t="s">
        <v>504</v>
      </c>
    </row>
    <row r="59" spans="1:9" x14ac:dyDescent="0.2">
      <c r="A59" s="25"/>
      <c r="B59" s="25"/>
    </row>
    <row r="60" spans="1:9" x14ac:dyDescent="0.2">
      <c r="A60" s="25"/>
      <c r="B60" s="25" t="s">
        <v>498</v>
      </c>
    </row>
    <row r="61" spans="1:9" x14ac:dyDescent="0.2">
      <c r="A61" s="25"/>
      <c r="B61" s="25" t="s">
        <v>499</v>
      </c>
    </row>
    <row r="62" spans="1:9" x14ac:dyDescent="0.2">
      <c r="A62" s="25"/>
      <c r="B62" s="25" t="s">
        <v>505</v>
      </c>
    </row>
    <row r="63" spans="1:9" x14ac:dyDescent="0.2">
      <c r="A63" s="25"/>
      <c r="B63" s="25" t="s">
        <v>506</v>
      </c>
    </row>
    <row r="64" spans="1:9" x14ac:dyDescent="0.2">
      <c r="A64" s="25"/>
      <c r="B64" s="25" t="s">
        <v>509</v>
      </c>
    </row>
    <row r="65" spans="1:2" x14ac:dyDescent="0.2">
      <c r="A65" s="25"/>
      <c r="B65" s="25"/>
    </row>
    <row r="66" spans="1:2" x14ac:dyDescent="0.2">
      <c r="A66" s="25"/>
      <c r="B66" s="25" t="s">
        <v>500</v>
      </c>
    </row>
    <row r="67" spans="1:2" x14ac:dyDescent="0.2">
      <c r="A67" s="25"/>
      <c r="B67" s="25" t="s">
        <v>501</v>
      </c>
    </row>
    <row r="68" spans="1:2" x14ac:dyDescent="0.2">
      <c r="A68" s="25"/>
      <c r="B68" s="25" t="s">
        <v>507</v>
      </c>
    </row>
    <row r="69" spans="1:2" x14ac:dyDescent="0.2">
      <c r="A69" s="25"/>
      <c r="B69" s="25" t="s">
        <v>508</v>
      </c>
    </row>
    <row r="70" spans="1:2" x14ac:dyDescent="0.2">
      <c r="A70" s="25"/>
      <c r="B70" s="25" t="s">
        <v>510</v>
      </c>
    </row>
    <row r="71" spans="1:2" x14ac:dyDescent="0.2">
      <c r="A71" s="26"/>
      <c r="B71" s="26"/>
    </row>
    <row r="72" spans="1:2" x14ac:dyDescent="0.2">
      <c r="A72" s="26"/>
      <c r="B72" s="26"/>
    </row>
    <row r="73" spans="1:2" x14ac:dyDescent="0.2">
      <c r="A73" s="26"/>
      <c r="B73" s="26"/>
    </row>
  </sheetData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73"/>
  <sheetViews>
    <sheetView workbookViewId="0">
      <selection activeCell="A31" sqref="A31:C31"/>
    </sheetView>
  </sheetViews>
  <sheetFormatPr baseColWidth="10" defaultColWidth="8.83203125" defaultRowHeight="15" x14ac:dyDescent="0.2"/>
  <cols>
    <col min="1" max="1" width="44.5" bestFit="1" customWidth="1"/>
    <col min="2" max="2" width="66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533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2957.69</v>
      </c>
      <c r="C3" s="51">
        <v>2957.69</v>
      </c>
      <c r="H3" s="26"/>
    </row>
    <row r="4" spans="1:11" x14ac:dyDescent="0.2">
      <c r="A4" s="26" t="s">
        <v>265</v>
      </c>
      <c r="B4">
        <v>1264.97</v>
      </c>
      <c r="C4">
        <v>1267.97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4222.66</v>
      </c>
      <c r="G8" s="27">
        <f>C9+C10+C11+C12+C13+C14+C15+C16+C17+C18+C19+C20+C21+C22+C23</f>
        <v>3877.5199999999995</v>
      </c>
      <c r="H8" s="27">
        <f>F8-G8</f>
        <v>345.14000000000033</v>
      </c>
    </row>
    <row r="9" spans="1:11" s="24" customFormat="1" x14ac:dyDescent="0.2">
      <c r="A9" s="20" t="s">
        <v>514</v>
      </c>
      <c r="B9" s="20" t="s">
        <v>396</v>
      </c>
      <c r="C9" s="21">
        <v>50</v>
      </c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1580.28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525</v>
      </c>
      <c r="B11" s="20" t="s">
        <v>389</v>
      </c>
      <c r="C11" s="20">
        <v>38.049999999999997</v>
      </c>
      <c r="D11" s="26"/>
      <c r="F11" s="68"/>
      <c r="G11" s="68"/>
      <c r="H11" s="68"/>
      <c r="I11" s="26"/>
    </row>
    <row r="12" spans="1:11" s="24" customFormat="1" x14ac:dyDescent="0.2">
      <c r="A12" s="20" t="s">
        <v>311</v>
      </c>
      <c r="B12" s="20" t="s">
        <v>394</v>
      </c>
      <c r="C12" s="21">
        <v>74.900000000000006</v>
      </c>
      <c r="D12" s="26"/>
      <c r="F12" s="33">
        <f>B3+B4</f>
        <v>4222.66</v>
      </c>
      <c r="G12" s="27">
        <f>C26+C27+C28+C29+C30+C31+C32</f>
        <v>906.52</v>
      </c>
      <c r="H12" s="27">
        <f>F12-G12</f>
        <v>3316.14</v>
      </c>
      <c r="I12" s="26"/>
    </row>
    <row r="13" spans="1:11" s="24" customFormat="1" x14ac:dyDescent="0.2">
      <c r="A13" s="20" t="s">
        <v>316</v>
      </c>
      <c r="B13" s="20" t="s">
        <v>392</v>
      </c>
      <c r="C13" s="21">
        <v>573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517</v>
      </c>
      <c r="B14" s="20" t="s">
        <v>403</v>
      </c>
      <c r="C14" s="21">
        <v>150</v>
      </c>
      <c r="D14" s="26"/>
      <c r="F14" s="31"/>
      <c r="G14" s="31"/>
      <c r="H14" s="31"/>
      <c r="I14" s="26"/>
      <c r="J14" s="26"/>
      <c r="K14" s="26"/>
    </row>
    <row r="15" spans="1:11" s="24" customFormat="1" x14ac:dyDescent="0.2">
      <c r="A15" s="20" t="s">
        <v>76</v>
      </c>
      <c r="B15" s="20" t="s">
        <v>402</v>
      </c>
      <c r="C15" s="21">
        <v>14.99</v>
      </c>
      <c r="D15" s="26"/>
      <c r="F15" s="31"/>
      <c r="G15" s="31"/>
      <c r="H15" s="31"/>
    </row>
    <row r="16" spans="1:11" s="24" customFormat="1" x14ac:dyDescent="0.2">
      <c r="A16" s="20" t="s">
        <v>521</v>
      </c>
      <c r="B16" s="20" t="s">
        <v>518</v>
      </c>
      <c r="C16" s="21">
        <v>542.02</v>
      </c>
      <c r="D16" s="26"/>
      <c r="F16" s="31"/>
      <c r="G16" s="31"/>
      <c r="H16" s="31"/>
    </row>
    <row r="17" spans="1:9" s="24" customFormat="1" x14ac:dyDescent="0.2">
      <c r="A17" s="20" t="s">
        <v>453</v>
      </c>
      <c r="B17" s="20" t="s">
        <v>398</v>
      </c>
      <c r="C17" s="21">
        <v>25</v>
      </c>
      <c r="D17" s="26"/>
      <c r="F17" s="31"/>
      <c r="G17" s="31"/>
      <c r="H17" s="31"/>
    </row>
    <row r="18" spans="1:9" s="24" customFormat="1" x14ac:dyDescent="0.2">
      <c r="A18" s="20" t="s">
        <v>528</v>
      </c>
      <c r="B18" s="20" t="s">
        <v>396</v>
      </c>
      <c r="C18" s="21">
        <v>50</v>
      </c>
      <c r="F18" s="31"/>
      <c r="G18" s="31"/>
      <c r="H18" s="31"/>
    </row>
    <row r="19" spans="1:9" s="24" customFormat="1" x14ac:dyDescent="0.2">
      <c r="A19" s="20" t="s">
        <v>471</v>
      </c>
      <c r="B19" s="20" t="s">
        <v>401</v>
      </c>
      <c r="C19" s="21">
        <v>153.66</v>
      </c>
      <c r="D19" s="26"/>
      <c r="F19" s="31"/>
      <c r="G19" s="31"/>
      <c r="H19" s="31"/>
      <c r="I19" s="26"/>
    </row>
    <row r="20" spans="1:9" s="24" customFormat="1" x14ac:dyDescent="0.2">
      <c r="A20" s="20" t="s">
        <v>526</v>
      </c>
      <c r="B20" s="20" t="s">
        <v>391</v>
      </c>
      <c r="C20" s="55">
        <v>35</v>
      </c>
      <c r="D20" s="26"/>
      <c r="F20" s="31"/>
      <c r="G20" s="31"/>
      <c r="H20" s="31"/>
      <c r="I20" s="26"/>
    </row>
    <row r="21" spans="1:9" s="24" customFormat="1" x14ac:dyDescent="0.2">
      <c r="A21" s="20" t="s">
        <v>442</v>
      </c>
      <c r="B21" s="20" t="s">
        <v>523</v>
      </c>
      <c r="C21" s="21">
        <v>68</v>
      </c>
      <c r="D21" s="26"/>
      <c r="F21" s="31"/>
      <c r="G21" s="31"/>
      <c r="H21" s="31"/>
      <c r="I21" s="26"/>
    </row>
    <row r="22" spans="1:9" s="24" customFormat="1" x14ac:dyDescent="0.2">
      <c r="A22" s="20" t="s">
        <v>520</v>
      </c>
      <c r="B22" s="20" t="s">
        <v>400</v>
      </c>
      <c r="C22" s="21">
        <v>299.61</v>
      </c>
      <c r="D22" s="26"/>
      <c r="F22" s="31"/>
      <c r="G22" s="31"/>
      <c r="H22" s="31"/>
      <c r="I22" s="26"/>
    </row>
    <row r="23" spans="1:9" s="24" customFormat="1" x14ac:dyDescent="0.2">
      <c r="A23" s="20" t="s">
        <v>470</v>
      </c>
      <c r="B23" s="20" t="s">
        <v>400</v>
      </c>
      <c r="C23" s="21">
        <v>223.01</v>
      </c>
      <c r="D23" s="26"/>
      <c r="F23" s="31"/>
      <c r="G23" s="31"/>
      <c r="H23" s="31"/>
      <c r="I23" s="26"/>
    </row>
    <row r="24" spans="1:9" s="24" customFormat="1" x14ac:dyDescent="0.2">
      <c r="A24" s="29"/>
      <c r="B24" s="29"/>
      <c r="C24" s="30"/>
      <c r="D24" s="26"/>
      <c r="F24" s="31"/>
      <c r="G24" s="31"/>
      <c r="H24" s="31"/>
      <c r="I24" s="26"/>
    </row>
    <row r="25" spans="1:9" s="24" customFormat="1" x14ac:dyDescent="0.2">
      <c r="A25" s="32" t="s">
        <v>13</v>
      </c>
      <c r="B25" s="25"/>
      <c r="C25" s="27"/>
      <c r="D25" s="26"/>
      <c r="F25" s="31"/>
      <c r="G25" s="31"/>
      <c r="H25" s="31"/>
      <c r="I25" s="26"/>
    </row>
    <row r="26" spans="1:9" s="24" customFormat="1" x14ac:dyDescent="0.2">
      <c r="A26" s="20" t="s">
        <v>529</v>
      </c>
      <c r="B26" s="20" t="s">
        <v>396</v>
      </c>
      <c r="C26" s="21">
        <v>50</v>
      </c>
      <c r="D26" s="26"/>
      <c r="F26" s="31"/>
      <c r="G26" s="31"/>
      <c r="H26" s="31"/>
      <c r="I26" s="26"/>
    </row>
    <row r="27" spans="1:9" s="24" customFormat="1" x14ac:dyDescent="0.2">
      <c r="A27" s="20" t="s">
        <v>267</v>
      </c>
      <c r="B27" s="20" t="s">
        <v>404</v>
      </c>
      <c r="C27" s="55">
        <v>33.4</v>
      </c>
      <c r="D27" s="26"/>
      <c r="F27" s="31"/>
      <c r="G27" s="31"/>
      <c r="H27" s="31"/>
      <c r="I27" s="26"/>
    </row>
    <row r="28" spans="1:9" s="24" customFormat="1" x14ac:dyDescent="0.2">
      <c r="A28" s="20" t="s">
        <v>438</v>
      </c>
      <c r="B28" s="20" t="s">
        <v>405</v>
      </c>
      <c r="C28" s="21">
        <v>86.5</v>
      </c>
      <c r="D28" s="26"/>
      <c r="F28" s="31"/>
      <c r="G28" s="31"/>
      <c r="H28" s="31"/>
      <c r="I28" s="26"/>
    </row>
    <row r="29" spans="1:9" s="24" customFormat="1" x14ac:dyDescent="0.2">
      <c r="A29" s="20" t="s">
        <v>79</v>
      </c>
      <c r="B29" s="20" t="s">
        <v>390</v>
      </c>
      <c r="C29" s="21">
        <v>227</v>
      </c>
      <c r="D29" s="26"/>
      <c r="F29" s="31"/>
      <c r="G29" s="31"/>
      <c r="H29" s="31"/>
      <c r="I29" s="26"/>
    </row>
    <row r="30" spans="1:9" s="24" customFormat="1" x14ac:dyDescent="0.2">
      <c r="A30" s="20" t="s">
        <v>302</v>
      </c>
      <c r="B30" s="20" t="s">
        <v>388</v>
      </c>
      <c r="C30" s="21">
        <v>278</v>
      </c>
      <c r="D30" s="26"/>
      <c r="F30" s="31"/>
      <c r="G30" s="31"/>
      <c r="H30" s="31"/>
      <c r="I30" s="26"/>
    </row>
    <row r="31" spans="1:9" s="24" customFormat="1" x14ac:dyDescent="0.2">
      <c r="A31" s="20" t="s">
        <v>60</v>
      </c>
      <c r="B31" s="20" t="s">
        <v>395</v>
      </c>
      <c r="C31" s="21">
        <v>181.62</v>
      </c>
      <c r="D31" s="26"/>
      <c r="F31" s="26"/>
      <c r="G31" s="26"/>
      <c r="H31" s="26"/>
      <c r="I31" s="26"/>
    </row>
    <row r="32" spans="1:9" s="24" customFormat="1" x14ac:dyDescent="0.2">
      <c r="A32" s="20" t="s">
        <v>530</v>
      </c>
      <c r="B32" s="20" t="s">
        <v>396</v>
      </c>
      <c r="C32" s="21">
        <v>50</v>
      </c>
      <c r="D32" s="26"/>
      <c r="F32" s="68" t="s">
        <v>330</v>
      </c>
      <c r="G32" s="26"/>
      <c r="H32" s="26"/>
      <c r="I32" s="26"/>
    </row>
    <row r="33" spans="1:9" s="26" customFormat="1" x14ac:dyDescent="0.2">
      <c r="A33" s="14"/>
      <c r="B33" s="14"/>
      <c r="C33" s="14"/>
      <c r="F33" s="25">
        <f>(H8+H12)/2</f>
        <v>1830.64</v>
      </c>
    </row>
    <row r="34" spans="1:9" s="26" customFormat="1" x14ac:dyDescent="0.2">
      <c r="A34"/>
      <c r="B34"/>
      <c r="C34"/>
    </row>
    <row r="35" spans="1:9" s="24" customFormat="1" x14ac:dyDescent="0.2">
      <c r="A35" s="26"/>
      <c r="B35" s="26"/>
      <c r="C35"/>
      <c r="D35" s="26"/>
      <c r="F35" s="24">
        <v>819.6</v>
      </c>
      <c r="H35" s="71"/>
    </row>
    <row r="36" spans="1:9" s="24" customFormat="1" x14ac:dyDescent="0.2">
      <c r="A36"/>
      <c r="B36"/>
      <c r="C36" s="26"/>
      <c r="D36" s="26"/>
      <c r="H36" s="71"/>
    </row>
    <row r="37" spans="1:9" s="26" customFormat="1" x14ac:dyDescent="0.2">
      <c r="A37" s="24"/>
      <c r="B37"/>
    </row>
    <row r="38" spans="1:9" s="26" customFormat="1" x14ac:dyDescent="0.2">
      <c r="A38" s="25" t="s">
        <v>464</v>
      </c>
      <c r="B38" s="25"/>
      <c r="F38"/>
    </row>
    <row r="39" spans="1:9" s="26" customFormat="1" x14ac:dyDescent="0.2">
      <c r="A39" s="4" t="s">
        <v>265</v>
      </c>
      <c r="B39" s="4" t="s">
        <v>473</v>
      </c>
      <c r="I39" s="24"/>
    </row>
    <row r="40" spans="1:9" s="26" customFormat="1" x14ac:dyDescent="0.2">
      <c r="A40" s="20"/>
      <c r="B40" s="4" t="s">
        <v>465</v>
      </c>
      <c r="C40"/>
      <c r="H40" s="24"/>
      <c r="I40" s="24"/>
    </row>
    <row r="41" spans="1:9" s="24" customFormat="1" x14ac:dyDescent="0.2">
      <c r="A41" s="20"/>
      <c r="B41" s="4" t="s">
        <v>466</v>
      </c>
      <c r="C41"/>
      <c r="D41" s="26"/>
      <c r="F41" s="26"/>
      <c r="G41" s="26"/>
    </row>
    <row r="42" spans="1:9" s="26" customFormat="1" x14ac:dyDescent="0.2">
      <c r="A42" s="20"/>
      <c r="B42" s="4" t="s">
        <v>484</v>
      </c>
      <c r="C42"/>
    </row>
    <row r="43" spans="1:9" s="26" customFormat="1" x14ac:dyDescent="0.2">
      <c r="A43" s="20"/>
      <c r="B43" s="4" t="s">
        <v>469</v>
      </c>
      <c r="C43"/>
    </row>
    <row r="44" spans="1:9" s="26" customFormat="1" x14ac:dyDescent="0.2">
      <c r="A44" s="20"/>
      <c r="B44" s="4"/>
      <c r="C44"/>
    </row>
    <row r="45" spans="1:9" s="24" customFormat="1" x14ac:dyDescent="0.2">
      <c r="A45" s="20"/>
      <c r="B45" s="4" t="s">
        <v>472</v>
      </c>
      <c r="C45"/>
      <c r="D45" s="26"/>
      <c r="F45" s="26"/>
      <c r="G45" s="26"/>
      <c r="I45"/>
    </row>
    <row r="46" spans="1:9" s="24" customFormat="1" x14ac:dyDescent="0.2">
      <c r="A46" s="20"/>
      <c r="B46" s="25" t="s">
        <v>467</v>
      </c>
      <c r="C46"/>
      <c r="D46" s="26"/>
      <c r="F46" s="26"/>
      <c r="I46"/>
    </row>
    <row r="47" spans="1:9" s="24" customFormat="1" x14ac:dyDescent="0.2">
      <c r="A47" s="20"/>
      <c r="B47" s="25" t="s">
        <v>476</v>
      </c>
      <c r="C47"/>
      <c r="D47" s="26"/>
      <c r="F47" s="26"/>
      <c r="G47" s="26"/>
      <c r="I47" s="26"/>
    </row>
    <row r="48" spans="1:9" s="26" customFormat="1" x14ac:dyDescent="0.2">
      <c r="A48" s="20"/>
      <c r="B48" s="25" t="s">
        <v>485</v>
      </c>
      <c r="C48"/>
    </row>
    <row r="49" spans="1:9" s="26" customFormat="1" x14ac:dyDescent="0.2">
      <c r="A49" s="20"/>
      <c r="B49" s="25" t="s">
        <v>468</v>
      </c>
      <c r="C49"/>
      <c r="I49"/>
    </row>
    <row r="50" spans="1:9" x14ac:dyDescent="0.2">
      <c r="A50" s="26"/>
      <c r="B50" s="26"/>
      <c r="F50" s="26"/>
      <c r="G50" s="26"/>
    </row>
    <row r="51" spans="1:9" x14ac:dyDescent="0.2">
      <c r="A51" s="26"/>
      <c r="B51" s="26"/>
      <c r="F51" s="26"/>
      <c r="G51" s="26"/>
    </row>
    <row r="52" spans="1:9" s="26" customFormat="1" x14ac:dyDescent="0.2">
      <c r="C52"/>
      <c r="I52"/>
    </row>
    <row r="53" spans="1:9" s="26" customFormat="1" x14ac:dyDescent="0.2">
      <c r="A53" s="25" t="s">
        <v>495</v>
      </c>
      <c r="B53" s="25"/>
      <c r="C53"/>
      <c r="F53"/>
      <c r="I53"/>
    </row>
    <row r="54" spans="1:9" x14ac:dyDescent="0.2">
      <c r="A54" s="25"/>
      <c r="B54" s="25" t="s">
        <v>496</v>
      </c>
      <c r="G54" s="26"/>
    </row>
    <row r="55" spans="1:9" x14ac:dyDescent="0.2">
      <c r="A55" s="25"/>
      <c r="B55" s="25" t="s">
        <v>497</v>
      </c>
      <c r="F55" s="26"/>
    </row>
    <row r="56" spans="1:9" x14ac:dyDescent="0.2">
      <c r="A56" s="25"/>
      <c r="B56" s="25" t="s">
        <v>502</v>
      </c>
      <c r="F56" s="26"/>
    </row>
    <row r="57" spans="1:9" x14ac:dyDescent="0.2">
      <c r="A57" s="25"/>
      <c r="B57" s="25" t="s">
        <v>503</v>
      </c>
    </row>
    <row r="58" spans="1:9" x14ac:dyDescent="0.2">
      <c r="A58" s="25"/>
      <c r="B58" s="25" t="s">
        <v>504</v>
      </c>
    </row>
    <row r="59" spans="1:9" x14ac:dyDescent="0.2">
      <c r="A59" s="25"/>
      <c r="B59" s="25"/>
    </row>
    <row r="60" spans="1:9" x14ac:dyDescent="0.2">
      <c r="A60" s="25"/>
      <c r="B60" s="25" t="s">
        <v>498</v>
      </c>
    </row>
    <row r="61" spans="1:9" x14ac:dyDescent="0.2">
      <c r="A61" s="25"/>
      <c r="B61" s="25" t="s">
        <v>499</v>
      </c>
    </row>
    <row r="62" spans="1:9" x14ac:dyDescent="0.2">
      <c r="A62" s="25"/>
      <c r="B62" s="25" t="s">
        <v>505</v>
      </c>
    </row>
    <row r="63" spans="1:9" x14ac:dyDescent="0.2">
      <c r="A63" s="25"/>
      <c r="B63" s="25" t="s">
        <v>506</v>
      </c>
    </row>
    <row r="64" spans="1:9" x14ac:dyDescent="0.2">
      <c r="A64" s="25"/>
      <c r="B64" s="25" t="s">
        <v>509</v>
      </c>
    </row>
    <row r="65" spans="1:2" x14ac:dyDescent="0.2">
      <c r="A65" s="25"/>
      <c r="B65" s="25"/>
    </row>
    <row r="66" spans="1:2" x14ac:dyDescent="0.2">
      <c r="A66" s="25"/>
      <c r="B66" s="25" t="s">
        <v>500</v>
      </c>
    </row>
    <row r="67" spans="1:2" x14ac:dyDescent="0.2">
      <c r="A67" s="25"/>
      <c r="B67" s="25" t="s">
        <v>501</v>
      </c>
    </row>
    <row r="68" spans="1:2" x14ac:dyDescent="0.2">
      <c r="A68" s="25"/>
      <c r="B68" s="25" t="s">
        <v>507</v>
      </c>
    </row>
    <row r="69" spans="1:2" x14ac:dyDescent="0.2">
      <c r="A69" s="25"/>
      <c r="B69" s="25" t="s">
        <v>508</v>
      </c>
    </row>
    <row r="70" spans="1:2" x14ac:dyDescent="0.2">
      <c r="A70" s="25"/>
      <c r="B70" s="25" t="s">
        <v>510</v>
      </c>
    </row>
    <row r="71" spans="1:2" x14ac:dyDescent="0.2">
      <c r="A71" s="26"/>
      <c r="B71" s="26"/>
    </row>
    <row r="72" spans="1:2" x14ac:dyDescent="0.2">
      <c r="A72" s="26"/>
      <c r="B72" s="26"/>
    </row>
    <row r="73" spans="1:2" x14ac:dyDescent="0.2">
      <c r="A73" s="26"/>
      <c r="B73" s="26"/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74"/>
  <sheetViews>
    <sheetView workbookViewId="0">
      <selection activeCell="A12" sqref="A12:C12"/>
    </sheetView>
  </sheetViews>
  <sheetFormatPr baseColWidth="10" defaultColWidth="8.83203125" defaultRowHeight="15" x14ac:dyDescent="0.2"/>
  <cols>
    <col min="1" max="1" width="44.5" bestFit="1" customWidth="1"/>
    <col min="2" max="2" width="66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532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2957.69</v>
      </c>
      <c r="C3" s="51">
        <v>2957.69</v>
      </c>
      <c r="H3" s="26"/>
    </row>
    <row r="4" spans="1:11" x14ac:dyDescent="0.2">
      <c r="A4" s="26" t="s">
        <v>265</v>
      </c>
      <c r="B4">
        <v>1264.97</v>
      </c>
      <c r="C4">
        <v>1267.97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4222.66</v>
      </c>
      <c r="G8" s="27">
        <f>C9+C10+C11+C12+C13+C14+C15+C16+C17+C18+C20+C19+C21+C22</f>
        <v>3304.5199999999995</v>
      </c>
      <c r="H8" s="27">
        <f>F8-G8</f>
        <v>918.14000000000033</v>
      </c>
    </row>
    <row r="9" spans="1:11" s="24" customFormat="1" x14ac:dyDescent="0.2">
      <c r="A9" s="20" t="s">
        <v>514</v>
      </c>
      <c r="B9" s="20" t="s">
        <v>396</v>
      </c>
      <c r="C9" s="21">
        <v>50</v>
      </c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1580.28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525</v>
      </c>
      <c r="B11" s="20" t="s">
        <v>389</v>
      </c>
      <c r="C11" s="20">
        <v>38.049999999999997</v>
      </c>
      <c r="D11" s="26"/>
      <c r="F11" s="68"/>
      <c r="G11" s="68"/>
      <c r="H11" s="68"/>
      <c r="I11" s="26"/>
    </row>
    <row r="12" spans="1:11" s="24" customFormat="1" x14ac:dyDescent="0.2">
      <c r="A12" s="20" t="s">
        <v>311</v>
      </c>
      <c r="B12" s="20" t="s">
        <v>394</v>
      </c>
      <c r="C12" s="21">
        <v>74.900000000000006</v>
      </c>
      <c r="D12" s="26"/>
      <c r="F12" s="33">
        <f>B3+B4</f>
        <v>4222.66</v>
      </c>
      <c r="G12" s="27">
        <f>C25+C26+C27+C28+C29+C30+C31+C32+C33</f>
        <v>1558.52</v>
      </c>
      <c r="H12" s="27">
        <f>F12-G12</f>
        <v>2664.14</v>
      </c>
      <c r="I12" s="26"/>
    </row>
    <row r="13" spans="1:11" s="24" customFormat="1" x14ac:dyDescent="0.2">
      <c r="A13" s="20" t="s">
        <v>517</v>
      </c>
      <c r="B13" s="20" t="s">
        <v>403</v>
      </c>
      <c r="C13" s="21">
        <v>150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76</v>
      </c>
      <c r="B14" s="20" t="s">
        <v>402</v>
      </c>
      <c r="C14" s="21">
        <v>14.99</v>
      </c>
      <c r="D14" s="26"/>
      <c r="F14" s="31"/>
      <c r="G14" s="31"/>
      <c r="H14" s="31"/>
      <c r="I14" s="26"/>
      <c r="J14" s="26"/>
      <c r="K14" s="26"/>
    </row>
    <row r="15" spans="1:11" s="24" customFormat="1" x14ac:dyDescent="0.2">
      <c r="A15" s="20" t="s">
        <v>521</v>
      </c>
      <c r="B15" s="20" t="s">
        <v>518</v>
      </c>
      <c r="C15" s="21">
        <v>542.02</v>
      </c>
      <c r="D15" s="26"/>
      <c r="F15" s="31"/>
      <c r="G15" s="31"/>
      <c r="H15" s="31"/>
    </row>
    <row r="16" spans="1:11" s="24" customFormat="1" x14ac:dyDescent="0.2">
      <c r="A16" s="20" t="s">
        <v>453</v>
      </c>
      <c r="B16" s="20" t="s">
        <v>398</v>
      </c>
      <c r="C16" s="21">
        <v>25</v>
      </c>
      <c r="D16" s="26"/>
      <c r="F16" s="31"/>
      <c r="G16" s="31"/>
      <c r="H16" s="31"/>
    </row>
    <row r="17" spans="1:9" s="24" customFormat="1" x14ac:dyDescent="0.2">
      <c r="A17" s="20" t="s">
        <v>528</v>
      </c>
      <c r="B17" s="20" t="s">
        <v>396</v>
      </c>
      <c r="C17" s="21">
        <v>50</v>
      </c>
      <c r="D17" s="26"/>
      <c r="F17" s="31"/>
      <c r="G17" s="31"/>
      <c r="H17" s="31"/>
    </row>
    <row r="18" spans="1:9" s="24" customFormat="1" x14ac:dyDescent="0.2">
      <c r="A18" s="20" t="s">
        <v>471</v>
      </c>
      <c r="B18" s="20" t="s">
        <v>401</v>
      </c>
      <c r="C18" s="21">
        <v>153.66</v>
      </c>
      <c r="F18" s="31"/>
      <c r="G18" s="31"/>
      <c r="H18" s="31"/>
    </row>
    <row r="19" spans="1:9" s="24" customFormat="1" x14ac:dyDescent="0.2">
      <c r="A19" s="20" t="s">
        <v>526</v>
      </c>
      <c r="B19" s="20" t="s">
        <v>391</v>
      </c>
      <c r="C19" s="55">
        <v>35</v>
      </c>
      <c r="D19" s="26"/>
      <c r="F19" s="31"/>
      <c r="G19" s="31"/>
      <c r="H19" s="31"/>
      <c r="I19" s="26"/>
    </row>
    <row r="20" spans="1:9" s="24" customFormat="1" x14ac:dyDescent="0.2">
      <c r="A20" s="20" t="s">
        <v>442</v>
      </c>
      <c r="B20" s="20" t="s">
        <v>523</v>
      </c>
      <c r="C20" s="21">
        <v>68</v>
      </c>
      <c r="D20" s="26"/>
      <c r="F20" s="31"/>
      <c r="G20" s="31"/>
      <c r="H20" s="31"/>
      <c r="I20" s="26"/>
    </row>
    <row r="21" spans="1:9" s="24" customFormat="1" x14ac:dyDescent="0.2">
      <c r="A21" s="20" t="s">
        <v>520</v>
      </c>
      <c r="B21" s="20" t="s">
        <v>400</v>
      </c>
      <c r="C21" s="21">
        <v>299.61</v>
      </c>
      <c r="D21" s="26"/>
      <c r="F21" s="31"/>
      <c r="G21" s="31"/>
      <c r="H21" s="31"/>
      <c r="I21" s="26"/>
    </row>
    <row r="22" spans="1:9" s="24" customFormat="1" x14ac:dyDescent="0.2">
      <c r="A22" s="20" t="s">
        <v>470</v>
      </c>
      <c r="B22" s="20" t="s">
        <v>400</v>
      </c>
      <c r="C22" s="21">
        <v>223.01</v>
      </c>
      <c r="D22" s="26"/>
      <c r="F22" s="31"/>
      <c r="G22" s="31"/>
      <c r="H22" s="31"/>
      <c r="I22" s="26"/>
    </row>
    <row r="23" spans="1:9" s="24" customFormat="1" x14ac:dyDescent="0.2">
      <c r="A23" s="29"/>
      <c r="B23" s="29"/>
      <c r="C23" s="30"/>
      <c r="D23" s="26"/>
      <c r="F23" s="31"/>
      <c r="G23" s="31"/>
      <c r="H23" s="31"/>
      <c r="I23" s="26"/>
    </row>
    <row r="24" spans="1:9" s="24" customFormat="1" x14ac:dyDescent="0.2">
      <c r="A24" s="32" t="s">
        <v>13</v>
      </c>
      <c r="B24" s="25"/>
      <c r="C24" s="27"/>
      <c r="D24" s="26"/>
      <c r="F24" s="31"/>
      <c r="G24" s="31"/>
      <c r="H24" s="31"/>
      <c r="I24" s="26"/>
    </row>
    <row r="25" spans="1:9" s="24" customFormat="1" x14ac:dyDescent="0.2">
      <c r="A25" s="20" t="s">
        <v>529</v>
      </c>
      <c r="B25" s="20" t="s">
        <v>396</v>
      </c>
      <c r="C25" s="21">
        <v>50</v>
      </c>
      <c r="D25" s="26"/>
      <c r="F25" s="31"/>
      <c r="G25" s="31"/>
      <c r="H25" s="31"/>
      <c r="I25" s="26"/>
    </row>
    <row r="26" spans="1:9" s="24" customFormat="1" x14ac:dyDescent="0.2">
      <c r="A26" s="20" t="s">
        <v>451</v>
      </c>
      <c r="B26" s="20" t="s">
        <v>452</v>
      </c>
      <c r="C26" s="21">
        <v>91</v>
      </c>
      <c r="D26" s="26"/>
      <c r="F26" s="31"/>
      <c r="G26" s="31"/>
      <c r="H26" s="31"/>
      <c r="I26" s="26"/>
    </row>
    <row r="27" spans="1:9" s="24" customFormat="1" x14ac:dyDescent="0.2">
      <c r="A27" s="20" t="s">
        <v>267</v>
      </c>
      <c r="B27" s="20" t="s">
        <v>404</v>
      </c>
      <c r="C27" s="55">
        <v>33.4</v>
      </c>
      <c r="D27" s="26"/>
      <c r="F27" s="31"/>
      <c r="G27" s="31"/>
      <c r="H27" s="31"/>
      <c r="I27" s="26"/>
    </row>
    <row r="28" spans="1:9" s="24" customFormat="1" x14ac:dyDescent="0.2">
      <c r="A28" s="20" t="s">
        <v>438</v>
      </c>
      <c r="B28" s="20" t="s">
        <v>405</v>
      </c>
      <c r="C28" s="21">
        <v>86.5</v>
      </c>
      <c r="D28" s="26"/>
      <c r="F28" s="31"/>
      <c r="G28" s="31"/>
      <c r="H28" s="31"/>
      <c r="I28" s="26"/>
    </row>
    <row r="29" spans="1:9" s="24" customFormat="1" x14ac:dyDescent="0.2">
      <c r="A29" s="20" t="s">
        <v>79</v>
      </c>
      <c r="B29" s="20" t="s">
        <v>390</v>
      </c>
      <c r="C29" s="21">
        <v>227</v>
      </c>
      <c r="D29" s="26"/>
      <c r="F29" s="31"/>
      <c r="G29" s="31"/>
      <c r="H29" s="31"/>
      <c r="I29" s="26"/>
    </row>
    <row r="30" spans="1:9" s="24" customFormat="1" x14ac:dyDescent="0.2">
      <c r="A30" s="20" t="s">
        <v>302</v>
      </c>
      <c r="B30" s="20" t="s">
        <v>388</v>
      </c>
      <c r="C30" s="21">
        <v>266</v>
      </c>
      <c r="D30" s="26"/>
      <c r="F30" s="31"/>
      <c r="G30" s="31"/>
      <c r="H30" s="31"/>
      <c r="I30" s="26"/>
    </row>
    <row r="31" spans="1:9" s="24" customFormat="1" x14ac:dyDescent="0.2">
      <c r="A31" s="20" t="s">
        <v>60</v>
      </c>
      <c r="B31" s="20" t="s">
        <v>395</v>
      </c>
      <c r="C31" s="21">
        <v>181.62</v>
      </c>
      <c r="D31" s="26"/>
      <c r="F31" s="31"/>
      <c r="G31" s="31"/>
      <c r="H31" s="31"/>
      <c r="I31" s="26"/>
    </row>
    <row r="32" spans="1:9" s="24" customFormat="1" x14ac:dyDescent="0.2">
      <c r="A32" s="25" t="s">
        <v>316</v>
      </c>
      <c r="B32" s="25" t="s">
        <v>392</v>
      </c>
      <c r="C32" s="27">
        <v>573</v>
      </c>
      <c r="D32" s="26"/>
      <c r="F32" s="26"/>
      <c r="G32" s="26"/>
      <c r="H32" s="26"/>
      <c r="I32" s="26"/>
    </row>
    <row r="33" spans="1:9" s="24" customFormat="1" x14ac:dyDescent="0.2">
      <c r="A33" s="20" t="s">
        <v>530</v>
      </c>
      <c r="B33" s="20" t="s">
        <v>396</v>
      </c>
      <c r="C33" s="21">
        <v>50</v>
      </c>
      <c r="D33" s="26"/>
      <c r="F33" s="68" t="s">
        <v>330</v>
      </c>
      <c r="G33" s="26"/>
      <c r="H33" s="26"/>
      <c r="I33" s="26"/>
    </row>
    <row r="34" spans="1:9" s="26" customFormat="1" x14ac:dyDescent="0.2">
      <c r="A34" s="14"/>
      <c r="B34" s="14"/>
      <c r="C34" s="14"/>
      <c r="F34" s="25">
        <f>(H8+H12)/2</f>
        <v>1791.14</v>
      </c>
    </row>
    <row r="35" spans="1:9" s="26" customFormat="1" x14ac:dyDescent="0.2">
      <c r="A35"/>
      <c r="B35"/>
      <c r="C35"/>
    </row>
    <row r="36" spans="1:9" s="24" customFormat="1" x14ac:dyDescent="0.2">
      <c r="A36" s="26"/>
      <c r="B36" s="26"/>
      <c r="C36"/>
      <c r="D36" s="26"/>
      <c r="H36" s="71"/>
    </row>
    <row r="37" spans="1:9" s="24" customFormat="1" x14ac:dyDescent="0.2">
      <c r="A37"/>
      <c r="B37"/>
      <c r="C37" s="26"/>
      <c r="D37" s="26"/>
      <c r="H37" s="71"/>
    </row>
    <row r="38" spans="1:9" s="26" customFormat="1" x14ac:dyDescent="0.2">
      <c r="A38" s="24"/>
      <c r="B38"/>
    </row>
    <row r="39" spans="1:9" s="26" customFormat="1" x14ac:dyDescent="0.2">
      <c r="A39" s="25" t="s">
        <v>464</v>
      </c>
      <c r="B39" s="25"/>
      <c r="F39"/>
    </row>
    <row r="40" spans="1:9" s="26" customFormat="1" x14ac:dyDescent="0.2">
      <c r="A40" s="4" t="s">
        <v>265</v>
      </c>
      <c r="B40" s="4" t="s">
        <v>473</v>
      </c>
      <c r="I40" s="24"/>
    </row>
    <row r="41" spans="1:9" s="26" customFormat="1" x14ac:dyDescent="0.2">
      <c r="A41" s="20"/>
      <c r="B41" s="4" t="s">
        <v>465</v>
      </c>
      <c r="C41"/>
      <c r="H41" s="24"/>
      <c r="I41" s="24"/>
    </row>
    <row r="42" spans="1:9" s="24" customFormat="1" x14ac:dyDescent="0.2">
      <c r="A42" s="20"/>
      <c r="B42" s="4" t="s">
        <v>466</v>
      </c>
      <c r="C42"/>
      <c r="D42" s="26"/>
      <c r="F42" s="26"/>
      <c r="G42" s="26"/>
    </row>
    <row r="43" spans="1:9" s="26" customFormat="1" x14ac:dyDescent="0.2">
      <c r="A43" s="20"/>
      <c r="B43" s="4" t="s">
        <v>484</v>
      </c>
      <c r="C43"/>
    </row>
    <row r="44" spans="1:9" s="26" customFormat="1" x14ac:dyDescent="0.2">
      <c r="A44" s="20"/>
      <c r="B44" s="4" t="s">
        <v>469</v>
      </c>
      <c r="C44"/>
    </row>
    <row r="45" spans="1:9" s="26" customFormat="1" x14ac:dyDescent="0.2">
      <c r="A45" s="20"/>
      <c r="B45" s="4"/>
      <c r="C45"/>
    </row>
    <row r="46" spans="1:9" s="24" customFormat="1" x14ac:dyDescent="0.2">
      <c r="A46" s="20"/>
      <c r="B46" s="4" t="s">
        <v>472</v>
      </c>
      <c r="C46"/>
      <c r="D46" s="26"/>
      <c r="F46" s="26"/>
      <c r="G46" s="26"/>
      <c r="I46"/>
    </row>
    <row r="47" spans="1:9" s="24" customFormat="1" x14ac:dyDescent="0.2">
      <c r="A47" s="20"/>
      <c r="B47" s="25" t="s">
        <v>467</v>
      </c>
      <c r="C47"/>
      <c r="D47" s="26"/>
      <c r="F47" s="26"/>
      <c r="I47"/>
    </row>
    <row r="48" spans="1:9" s="24" customFormat="1" x14ac:dyDescent="0.2">
      <c r="A48" s="20"/>
      <c r="B48" s="25" t="s">
        <v>476</v>
      </c>
      <c r="C48"/>
      <c r="D48" s="26"/>
      <c r="F48" s="26"/>
      <c r="G48" s="26"/>
      <c r="I48" s="26"/>
    </row>
    <row r="49" spans="1:9" s="26" customFormat="1" x14ac:dyDescent="0.2">
      <c r="A49" s="20"/>
      <c r="B49" s="25" t="s">
        <v>485</v>
      </c>
      <c r="C49"/>
    </row>
    <row r="50" spans="1:9" s="26" customFormat="1" x14ac:dyDescent="0.2">
      <c r="A50" s="20"/>
      <c r="B50" s="25" t="s">
        <v>468</v>
      </c>
      <c r="C50"/>
      <c r="I50"/>
    </row>
    <row r="51" spans="1:9" x14ac:dyDescent="0.2">
      <c r="A51" s="26"/>
      <c r="B51" s="26"/>
      <c r="F51" s="26"/>
      <c r="G51" s="26"/>
    </row>
    <row r="52" spans="1:9" x14ac:dyDescent="0.2">
      <c r="A52" s="26"/>
      <c r="B52" s="26"/>
      <c r="F52" s="26"/>
      <c r="G52" s="26"/>
    </row>
    <row r="53" spans="1:9" s="26" customFormat="1" x14ac:dyDescent="0.2">
      <c r="C53"/>
      <c r="I53"/>
    </row>
    <row r="54" spans="1:9" s="26" customFormat="1" x14ac:dyDescent="0.2">
      <c r="A54" s="25" t="s">
        <v>495</v>
      </c>
      <c r="B54" s="25"/>
      <c r="C54"/>
      <c r="F54"/>
      <c r="I54"/>
    </row>
    <row r="55" spans="1:9" x14ac:dyDescent="0.2">
      <c r="A55" s="25"/>
      <c r="B55" s="25" t="s">
        <v>496</v>
      </c>
      <c r="G55" s="26"/>
    </row>
    <row r="56" spans="1:9" x14ac:dyDescent="0.2">
      <c r="A56" s="25"/>
      <c r="B56" s="25" t="s">
        <v>497</v>
      </c>
      <c r="F56" s="26"/>
    </row>
    <row r="57" spans="1:9" x14ac:dyDescent="0.2">
      <c r="A57" s="25"/>
      <c r="B57" s="25" t="s">
        <v>502</v>
      </c>
      <c r="F57" s="26"/>
    </row>
    <row r="58" spans="1:9" x14ac:dyDescent="0.2">
      <c r="A58" s="25"/>
      <c r="B58" s="25" t="s">
        <v>503</v>
      </c>
    </row>
    <row r="59" spans="1:9" x14ac:dyDescent="0.2">
      <c r="A59" s="25"/>
      <c r="B59" s="25" t="s">
        <v>504</v>
      </c>
    </row>
    <row r="60" spans="1:9" x14ac:dyDescent="0.2">
      <c r="A60" s="25"/>
      <c r="B60" s="25"/>
    </row>
    <row r="61" spans="1:9" x14ac:dyDescent="0.2">
      <c r="A61" s="25"/>
      <c r="B61" s="25" t="s">
        <v>498</v>
      </c>
    </row>
    <row r="62" spans="1:9" x14ac:dyDescent="0.2">
      <c r="A62" s="25"/>
      <c r="B62" s="25" t="s">
        <v>499</v>
      </c>
    </row>
    <row r="63" spans="1:9" x14ac:dyDescent="0.2">
      <c r="A63" s="25"/>
      <c r="B63" s="25" t="s">
        <v>505</v>
      </c>
    </row>
    <row r="64" spans="1:9" x14ac:dyDescent="0.2">
      <c r="A64" s="25"/>
      <c r="B64" s="25" t="s">
        <v>506</v>
      </c>
    </row>
    <row r="65" spans="1:2" x14ac:dyDescent="0.2">
      <c r="A65" s="25"/>
      <c r="B65" s="25" t="s">
        <v>509</v>
      </c>
    </row>
    <row r="66" spans="1:2" x14ac:dyDescent="0.2">
      <c r="A66" s="25"/>
      <c r="B66" s="25"/>
    </row>
    <row r="67" spans="1:2" x14ac:dyDescent="0.2">
      <c r="A67" s="25"/>
      <c r="B67" s="25" t="s">
        <v>500</v>
      </c>
    </row>
    <row r="68" spans="1:2" x14ac:dyDescent="0.2">
      <c r="A68" s="25"/>
      <c r="B68" s="25" t="s">
        <v>501</v>
      </c>
    </row>
    <row r="69" spans="1:2" x14ac:dyDescent="0.2">
      <c r="A69" s="25"/>
      <c r="B69" s="25" t="s">
        <v>507</v>
      </c>
    </row>
    <row r="70" spans="1:2" x14ac:dyDescent="0.2">
      <c r="A70" s="25"/>
      <c r="B70" s="25" t="s">
        <v>508</v>
      </c>
    </row>
    <row r="71" spans="1:2" x14ac:dyDescent="0.2">
      <c r="A71" s="25"/>
      <c r="B71" s="25" t="s">
        <v>510</v>
      </c>
    </row>
    <row r="72" spans="1:2" x14ac:dyDescent="0.2">
      <c r="A72" s="26"/>
      <c r="B72" s="26"/>
    </row>
    <row r="73" spans="1:2" x14ac:dyDescent="0.2">
      <c r="A73" s="26"/>
      <c r="B73" s="26"/>
    </row>
    <row r="74" spans="1:2" x14ac:dyDescent="0.2">
      <c r="A74" s="26"/>
      <c r="B74" s="26"/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74"/>
  <sheetViews>
    <sheetView workbookViewId="0">
      <selection activeCell="A33" sqref="A33:C33"/>
    </sheetView>
  </sheetViews>
  <sheetFormatPr baseColWidth="10" defaultColWidth="8.83203125" defaultRowHeight="15" x14ac:dyDescent="0.2"/>
  <cols>
    <col min="1" max="1" width="44.5" bestFit="1" customWidth="1"/>
    <col min="2" max="2" width="66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531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2957.69</v>
      </c>
      <c r="C3" s="51">
        <v>2957.69</v>
      </c>
      <c r="H3" s="26"/>
    </row>
    <row r="4" spans="1:11" x14ac:dyDescent="0.2">
      <c r="A4" s="26" t="s">
        <v>265</v>
      </c>
      <c r="B4">
        <v>1264.97</v>
      </c>
      <c r="C4">
        <v>1267.97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4222.66</v>
      </c>
      <c r="G8" s="27">
        <f>C9+C10+C11+C12+C13+C14+C15+C16+C17+C18+C20+C19+C21+C22</f>
        <v>3304.5199999999995</v>
      </c>
      <c r="H8" s="27">
        <f>F8-G8</f>
        <v>918.14000000000033</v>
      </c>
    </row>
    <row r="9" spans="1:11" s="24" customFormat="1" x14ac:dyDescent="0.2">
      <c r="A9" s="20" t="s">
        <v>514</v>
      </c>
      <c r="B9" s="20" t="s">
        <v>396</v>
      </c>
      <c r="C9" s="21">
        <v>50</v>
      </c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1580.28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48" t="s">
        <v>525</v>
      </c>
      <c r="B11" s="48" t="s">
        <v>389</v>
      </c>
      <c r="C11" s="48">
        <v>38.049999999999997</v>
      </c>
      <c r="D11" s="26"/>
      <c r="F11" s="68"/>
      <c r="G11" s="68"/>
      <c r="H11" s="68"/>
      <c r="I11" s="26"/>
    </row>
    <row r="12" spans="1:11" s="24" customFormat="1" x14ac:dyDescent="0.2">
      <c r="A12" s="48" t="s">
        <v>311</v>
      </c>
      <c r="B12" s="48" t="s">
        <v>394</v>
      </c>
      <c r="C12" s="76">
        <v>74.900000000000006</v>
      </c>
      <c r="D12" s="26"/>
      <c r="F12" s="33">
        <f>B3+B4</f>
        <v>4222.66</v>
      </c>
      <c r="G12" s="27">
        <f>C25+C26+C27+C28+C29+C30+C31+C32+C33</f>
        <v>1528.52</v>
      </c>
      <c r="H12" s="27">
        <f>F12-G12</f>
        <v>2694.14</v>
      </c>
      <c r="I12" s="26"/>
    </row>
    <row r="13" spans="1:11" s="24" customFormat="1" x14ac:dyDescent="0.2">
      <c r="A13" s="48" t="s">
        <v>517</v>
      </c>
      <c r="B13" s="48" t="s">
        <v>403</v>
      </c>
      <c r="C13" s="76">
        <v>150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76</v>
      </c>
      <c r="B14" s="20" t="s">
        <v>402</v>
      </c>
      <c r="C14" s="21">
        <v>14.99</v>
      </c>
      <c r="D14" s="26"/>
      <c r="F14" s="31"/>
      <c r="G14" s="31"/>
      <c r="H14" s="31"/>
      <c r="I14" s="26"/>
      <c r="J14" s="26"/>
      <c r="K14" s="26"/>
    </row>
    <row r="15" spans="1:11" s="24" customFormat="1" x14ac:dyDescent="0.2">
      <c r="A15" s="20" t="s">
        <v>521</v>
      </c>
      <c r="B15" s="20" t="s">
        <v>518</v>
      </c>
      <c r="C15" s="21">
        <v>542.02</v>
      </c>
      <c r="D15" s="26"/>
      <c r="F15" s="31"/>
      <c r="G15" s="31"/>
      <c r="H15" s="31"/>
    </row>
    <row r="16" spans="1:11" s="24" customFormat="1" x14ac:dyDescent="0.2">
      <c r="A16" s="20" t="s">
        <v>453</v>
      </c>
      <c r="B16" s="20" t="s">
        <v>398</v>
      </c>
      <c r="C16" s="21">
        <v>25</v>
      </c>
      <c r="D16" s="26"/>
      <c r="F16" s="31"/>
      <c r="G16" s="31"/>
      <c r="H16" s="31"/>
    </row>
    <row r="17" spans="1:9" s="24" customFormat="1" x14ac:dyDescent="0.2">
      <c r="A17" s="20" t="s">
        <v>528</v>
      </c>
      <c r="B17" s="20" t="s">
        <v>396</v>
      </c>
      <c r="C17" s="21">
        <v>50</v>
      </c>
      <c r="D17" s="26"/>
      <c r="F17" s="31"/>
      <c r="G17" s="31"/>
      <c r="H17" s="31"/>
    </row>
    <row r="18" spans="1:9" s="24" customFormat="1" x14ac:dyDescent="0.2">
      <c r="A18" s="20" t="s">
        <v>471</v>
      </c>
      <c r="B18" s="20" t="s">
        <v>401</v>
      </c>
      <c r="C18" s="21">
        <v>153.66</v>
      </c>
      <c r="F18" s="31"/>
      <c r="G18" s="31"/>
      <c r="H18" s="31"/>
    </row>
    <row r="19" spans="1:9" s="24" customFormat="1" x14ac:dyDescent="0.2">
      <c r="A19" s="20" t="s">
        <v>526</v>
      </c>
      <c r="B19" s="20" t="s">
        <v>391</v>
      </c>
      <c r="C19" s="55">
        <v>35</v>
      </c>
      <c r="D19" s="26"/>
      <c r="F19" s="31"/>
      <c r="G19" s="31"/>
      <c r="H19" s="31"/>
      <c r="I19" s="26"/>
    </row>
    <row r="20" spans="1:9" s="24" customFormat="1" x14ac:dyDescent="0.2">
      <c r="A20" s="20" t="s">
        <v>442</v>
      </c>
      <c r="B20" s="20" t="s">
        <v>523</v>
      </c>
      <c r="C20" s="21">
        <v>68</v>
      </c>
      <c r="D20" s="26"/>
      <c r="F20" s="31"/>
      <c r="G20" s="31"/>
      <c r="H20" s="31"/>
      <c r="I20" s="26"/>
    </row>
    <row r="21" spans="1:9" s="24" customFormat="1" x14ac:dyDescent="0.2">
      <c r="A21" s="20" t="s">
        <v>520</v>
      </c>
      <c r="B21" s="20" t="s">
        <v>400</v>
      </c>
      <c r="C21" s="21">
        <v>299.61</v>
      </c>
      <c r="D21" s="26"/>
      <c r="F21" s="31"/>
      <c r="G21" s="31"/>
      <c r="H21" s="31"/>
      <c r="I21" s="26"/>
    </row>
    <row r="22" spans="1:9" s="24" customFormat="1" x14ac:dyDescent="0.2">
      <c r="A22" s="20" t="s">
        <v>470</v>
      </c>
      <c r="B22" s="20" t="s">
        <v>400</v>
      </c>
      <c r="C22" s="21">
        <v>223.01</v>
      </c>
      <c r="D22" s="26"/>
      <c r="F22" s="31"/>
      <c r="G22" s="31"/>
      <c r="H22" s="31"/>
      <c r="I22" s="26"/>
    </row>
    <row r="23" spans="1:9" s="24" customFormat="1" x14ac:dyDescent="0.2">
      <c r="A23" s="29"/>
      <c r="B23" s="29"/>
      <c r="C23" s="30"/>
      <c r="D23" s="26"/>
      <c r="F23" s="31"/>
      <c r="G23" s="31"/>
      <c r="H23" s="31"/>
      <c r="I23" s="26"/>
    </row>
    <row r="24" spans="1:9" s="24" customFormat="1" x14ac:dyDescent="0.2">
      <c r="A24" s="32" t="s">
        <v>13</v>
      </c>
      <c r="B24" s="25"/>
      <c r="C24" s="27"/>
      <c r="D24" s="26"/>
      <c r="F24" s="31"/>
      <c r="G24" s="31"/>
      <c r="H24" s="31"/>
      <c r="I24" s="26"/>
    </row>
    <row r="25" spans="1:9" s="24" customFormat="1" x14ac:dyDescent="0.2">
      <c r="A25" s="20" t="s">
        <v>529</v>
      </c>
      <c r="B25" s="20" t="s">
        <v>396</v>
      </c>
      <c r="C25" s="21">
        <v>50</v>
      </c>
      <c r="D25" s="26"/>
      <c r="F25" s="31"/>
      <c r="G25" s="31"/>
      <c r="H25" s="31"/>
      <c r="I25" s="26"/>
    </row>
    <row r="26" spans="1:9" s="24" customFormat="1" x14ac:dyDescent="0.2">
      <c r="A26" s="20" t="s">
        <v>451</v>
      </c>
      <c r="B26" s="20" t="s">
        <v>452</v>
      </c>
      <c r="C26" s="21">
        <v>91</v>
      </c>
      <c r="D26" s="26"/>
      <c r="F26" s="31"/>
      <c r="G26" s="31"/>
      <c r="H26" s="31"/>
      <c r="I26" s="26"/>
    </row>
    <row r="27" spans="1:9" s="24" customFormat="1" x14ac:dyDescent="0.2">
      <c r="A27" s="20" t="s">
        <v>267</v>
      </c>
      <c r="B27" s="20" t="s">
        <v>404</v>
      </c>
      <c r="C27" s="55">
        <v>33.4</v>
      </c>
      <c r="D27" s="26"/>
      <c r="F27" s="31"/>
      <c r="G27" s="31"/>
      <c r="H27" s="31"/>
      <c r="I27" s="26"/>
    </row>
    <row r="28" spans="1:9" s="24" customFormat="1" x14ac:dyDescent="0.2">
      <c r="A28" s="20" t="s">
        <v>438</v>
      </c>
      <c r="B28" s="20" t="s">
        <v>405</v>
      </c>
      <c r="C28" s="21">
        <v>86.5</v>
      </c>
      <c r="D28" s="26"/>
      <c r="F28" s="31"/>
      <c r="G28" s="31"/>
      <c r="H28" s="31"/>
      <c r="I28" s="26"/>
    </row>
    <row r="29" spans="1:9" s="24" customFormat="1" x14ac:dyDescent="0.2">
      <c r="A29" s="20" t="s">
        <v>79</v>
      </c>
      <c r="B29" s="20" t="s">
        <v>390</v>
      </c>
      <c r="C29" s="21">
        <v>227</v>
      </c>
      <c r="D29" s="26"/>
      <c r="F29" s="31"/>
      <c r="G29" s="31"/>
      <c r="H29" s="31"/>
      <c r="I29" s="26"/>
    </row>
    <row r="30" spans="1:9" s="24" customFormat="1" x14ac:dyDescent="0.2">
      <c r="A30" s="20" t="s">
        <v>302</v>
      </c>
      <c r="B30" s="20" t="s">
        <v>388</v>
      </c>
      <c r="C30" s="21">
        <v>236</v>
      </c>
      <c r="D30" s="26"/>
      <c r="F30" s="31"/>
      <c r="G30" s="31"/>
      <c r="H30" s="31"/>
      <c r="I30" s="26"/>
    </row>
    <row r="31" spans="1:9" s="24" customFormat="1" x14ac:dyDescent="0.2">
      <c r="A31" s="20" t="s">
        <v>60</v>
      </c>
      <c r="B31" s="20" t="s">
        <v>395</v>
      </c>
      <c r="C31" s="21">
        <v>181.62</v>
      </c>
      <c r="D31" s="26"/>
      <c r="F31" s="31"/>
      <c r="G31" s="31"/>
      <c r="H31" s="31"/>
      <c r="I31" s="26"/>
    </row>
    <row r="32" spans="1:9" s="24" customFormat="1" x14ac:dyDescent="0.2">
      <c r="A32" s="20" t="s">
        <v>316</v>
      </c>
      <c r="B32" s="20" t="s">
        <v>392</v>
      </c>
      <c r="C32" s="21">
        <v>573</v>
      </c>
      <c r="D32" s="26"/>
      <c r="F32" s="26"/>
      <c r="G32" s="26"/>
      <c r="H32" s="26"/>
      <c r="I32" s="26"/>
    </row>
    <row r="33" spans="1:9" s="24" customFormat="1" x14ac:dyDescent="0.2">
      <c r="A33" s="20" t="s">
        <v>530</v>
      </c>
      <c r="B33" s="20" t="s">
        <v>396</v>
      </c>
      <c r="C33" s="21">
        <v>50</v>
      </c>
      <c r="D33" s="26"/>
      <c r="F33" s="68" t="s">
        <v>330</v>
      </c>
      <c r="G33" s="26"/>
      <c r="H33" s="26"/>
      <c r="I33" s="26"/>
    </row>
    <row r="34" spans="1:9" s="26" customFormat="1" x14ac:dyDescent="0.2">
      <c r="A34" s="14"/>
      <c r="B34" s="14"/>
      <c r="C34" s="14"/>
      <c r="F34" s="25">
        <f>(H8+H12)/2</f>
        <v>1806.14</v>
      </c>
    </row>
    <row r="35" spans="1:9" s="26" customFormat="1" x14ac:dyDescent="0.2">
      <c r="A35"/>
      <c r="B35"/>
      <c r="C35"/>
    </row>
    <row r="36" spans="1:9" s="24" customFormat="1" x14ac:dyDescent="0.2">
      <c r="A36" s="26"/>
      <c r="B36" s="26"/>
      <c r="C36"/>
      <c r="D36" s="26"/>
      <c r="H36" s="71"/>
    </row>
    <row r="37" spans="1:9" s="24" customFormat="1" x14ac:dyDescent="0.2">
      <c r="A37"/>
      <c r="B37"/>
      <c r="C37" s="26"/>
      <c r="D37" s="26"/>
      <c r="H37" s="71"/>
    </row>
    <row r="38" spans="1:9" s="26" customFormat="1" x14ac:dyDescent="0.2">
      <c r="A38" s="24"/>
      <c r="B38"/>
    </row>
    <row r="39" spans="1:9" s="26" customFormat="1" x14ac:dyDescent="0.2">
      <c r="A39" s="25" t="s">
        <v>464</v>
      </c>
      <c r="B39" s="25"/>
      <c r="F39"/>
    </row>
    <row r="40" spans="1:9" s="26" customFormat="1" x14ac:dyDescent="0.2">
      <c r="A40" s="4" t="s">
        <v>265</v>
      </c>
      <c r="B40" s="4" t="s">
        <v>473</v>
      </c>
      <c r="I40" s="24"/>
    </row>
    <row r="41" spans="1:9" s="26" customFormat="1" x14ac:dyDescent="0.2">
      <c r="A41" s="20"/>
      <c r="B41" s="4" t="s">
        <v>465</v>
      </c>
      <c r="C41"/>
      <c r="H41" s="24"/>
      <c r="I41" s="24"/>
    </row>
    <row r="42" spans="1:9" s="24" customFormat="1" x14ac:dyDescent="0.2">
      <c r="A42" s="20"/>
      <c r="B42" s="4" t="s">
        <v>466</v>
      </c>
      <c r="C42"/>
      <c r="D42" s="26"/>
      <c r="F42" s="26"/>
      <c r="G42" s="26"/>
    </row>
    <row r="43" spans="1:9" s="26" customFormat="1" x14ac:dyDescent="0.2">
      <c r="A43" s="20"/>
      <c r="B43" s="4" t="s">
        <v>484</v>
      </c>
      <c r="C43"/>
    </row>
    <row r="44" spans="1:9" s="26" customFormat="1" x14ac:dyDescent="0.2">
      <c r="A44" s="20"/>
      <c r="B44" s="4" t="s">
        <v>469</v>
      </c>
      <c r="C44"/>
    </row>
    <row r="45" spans="1:9" s="26" customFormat="1" x14ac:dyDescent="0.2">
      <c r="A45" s="20"/>
      <c r="B45" s="4"/>
      <c r="C45"/>
    </row>
    <row r="46" spans="1:9" s="24" customFormat="1" x14ac:dyDescent="0.2">
      <c r="A46" s="20"/>
      <c r="B46" s="4" t="s">
        <v>472</v>
      </c>
      <c r="C46"/>
      <c r="D46" s="26"/>
      <c r="F46" s="26"/>
      <c r="G46" s="26"/>
      <c r="I46"/>
    </row>
    <row r="47" spans="1:9" s="24" customFormat="1" x14ac:dyDescent="0.2">
      <c r="A47" s="20"/>
      <c r="B47" s="25" t="s">
        <v>467</v>
      </c>
      <c r="C47"/>
      <c r="D47" s="26"/>
      <c r="F47" s="26"/>
      <c r="I47"/>
    </row>
    <row r="48" spans="1:9" s="24" customFormat="1" x14ac:dyDescent="0.2">
      <c r="A48" s="20"/>
      <c r="B48" s="25" t="s">
        <v>476</v>
      </c>
      <c r="C48"/>
      <c r="D48" s="26"/>
      <c r="F48" s="26"/>
      <c r="G48" s="26"/>
      <c r="I48" s="26"/>
    </row>
    <row r="49" spans="1:9" s="26" customFormat="1" x14ac:dyDescent="0.2">
      <c r="A49" s="20"/>
      <c r="B49" s="25" t="s">
        <v>485</v>
      </c>
      <c r="C49"/>
    </row>
    <row r="50" spans="1:9" s="26" customFormat="1" x14ac:dyDescent="0.2">
      <c r="A50" s="20"/>
      <c r="B50" s="25" t="s">
        <v>468</v>
      </c>
      <c r="C50"/>
      <c r="I50"/>
    </row>
    <row r="51" spans="1:9" x14ac:dyDescent="0.2">
      <c r="A51" s="26"/>
      <c r="B51" s="26"/>
      <c r="F51" s="26"/>
      <c r="G51" s="26"/>
    </row>
    <row r="52" spans="1:9" x14ac:dyDescent="0.2">
      <c r="A52" s="26"/>
      <c r="B52" s="26"/>
      <c r="F52" s="26"/>
      <c r="G52" s="26"/>
    </row>
    <row r="53" spans="1:9" s="26" customFormat="1" x14ac:dyDescent="0.2">
      <c r="C53"/>
      <c r="I53"/>
    </row>
    <row r="54" spans="1:9" s="26" customFormat="1" x14ac:dyDescent="0.2">
      <c r="A54" s="25" t="s">
        <v>495</v>
      </c>
      <c r="B54" s="25"/>
      <c r="C54"/>
      <c r="F54"/>
      <c r="I54"/>
    </row>
    <row r="55" spans="1:9" x14ac:dyDescent="0.2">
      <c r="A55" s="25"/>
      <c r="B55" s="25" t="s">
        <v>496</v>
      </c>
      <c r="G55" s="26"/>
    </row>
    <row r="56" spans="1:9" x14ac:dyDescent="0.2">
      <c r="A56" s="25"/>
      <c r="B56" s="25" t="s">
        <v>497</v>
      </c>
      <c r="F56" s="26"/>
    </row>
    <row r="57" spans="1:9" x14ac:dyDescent="0.2">
      <c r="A57" s="25"/>
      <c r="B57" s="25" t="s">
        <v>502</v>
      </c>
      <c r="F57" s="26"/>
    </row>
    <row r="58" spans="1:9" x14ac:dyDescent="0.2">
      <c r="A58" s="25"/>
      <c r="B58" s="25" t="s">
        <v>503</v>
      </c>
    </row>
    <row r="59" spans="1:9" x14ac:dyDescent="0.2">
      <c r="A59" s="25"/>
      <c r="B59" s="25" t="s">
        <v>504</v>
      </c>
    </row>
    <row r="60" spans="1:9" x14ac:dyDescent="0.2">
      <c r="A60" s="25"/>
      <c r="B60" s="25"/>
    </row>
    <row r="61" spans="1:9" x14ac:dyDescent="0.2">
      <c r="A61" s="25"/>
      <c r="B61" s="25" t="s">
        <v>498</v>
      </c>
    </row>
    <row r="62" spans="1:9" x14ac:dyDescent="0.2">
      <c r="A62" s="25"/>
      <c r="B62" s="25" t="s">
        <v>499</v>
      </c>
    </row>
    <row r="63" spans="1:9" x14ac:dyDescent="0.2">
      <c r="A63" s="25"/>
      <c r="B63" s="25" t="s">
        <v>505</v>
      </c>
    </row>
    <row r="64" spans="1:9" x14ac:dyDescent="0.2">
      <c r="A64" s="25"/>
      <c r="B64" s="25" t="s">
        <v>506</v>
      </c>
    </row>
    <row r="65" spans="1:2" x14ac:dyDescent="0.2">
      <c r="A65" s="25"/>
      <c r="B65" s="25" t="s">
        <v>509</v>
      </c>
    </row>
    <row r="66" spans="1:2" x14ac:dyDescent="0.2">
      <c r="A66" s="25"/>
      <c r="B66" s="25"/>
    </row>
    <row r="67" spans="1:2" x14ac:dyDescent="0.2">
      <c r="A67" s="25"/>
      <c r="B67" s="25" t="s">
        <v>500</v>
      </c>
    </row>
    <row r="68" spans="1:2" x14ac:dyDescent="0.2">
      <c r="A68" s="25"/>
      <c r="B68" s="25" t="s">
        <v>501</v>
      </c>
    </row>
    <row r="69" spans="1:2" x14ac:dyDescent="0.2">
      <c r="A69" s="25"/>
      <c r="B69" s="25" t="s">
        <v>507</v>
      </c>
    </row>
    <row r="70" spans="1:2" x14ac:dyDescent="0.2">
      <c r="A70" s="25"/>
      <c r="B70" s="25" t="s">
        <v>508</v>
      </c>
    </row>
    <row r="71" spans="1:2" x14ac:dyDescent="0.2">
      <c r="A71" s="25"/>
      <c r="B71" s="25" t="s">
        <v>510</v>
      </c>
    </row>
    <row r="72" spans="1:2" x14ac:dyDescent="0.2">
      <c r="A72" s="26"/>
      <c r="B72" s="26"/>
    </row>
    <row r="73" spans="1:2" x14ac:dyDescent="0.2">
      <c r="A73" s="26"/>
      <c r="B73" s="26"/>
    </row>
    <row r="74" spans="1:2" x14ac:dyDescent="0.2">
      <c r="A74" s="26"/>
      <c r="B74" s="26"/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74"/>
  <sheetViews>
    <sheetView workbookViewId="0">
      <selection sqref="A1:XFD1048576"/>
    </sheetView>
  </sheetViews>
  <sheetFormatPr baseColWidth="10" defaultColWidth="8.83203125" defaultRowHeight="15" x14ac:dyDescent="0.2"/>
  <cols>
    <col min="1" max="1" width="44.5" bestFit="1" customWidth="1"/>
    <col min="2" max="2" width="66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527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2957.69</v>
      </c>
      <c r="C3" s="51">
        <v>2957.69</v>
      </c>
      <c r="H3" s="26"/>
    </row>
    <row r="4" spans="1:11" x14ac:dyDescent="0.2">
      <c r="A4" s="26" t="s">
        <v>265</v>
      </c>
      <c r="B4">
        <v>1258.4100000000001</v>
      </c>
      <c r="C4">
        <v>1258.4100000000001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4216.1000000000004</v>
      </c>
      <c r="G8" s="27">
        <f>C9+C10+C11+C12+C13+C14+C15+C16+C17+C18+C20+C19+C21+C22</f>
        <v>3304.5199999999995</v>
      </c>
      <c r="H8" s="27">
        <f>F8-G8</f>
        <v>911.58000000000084</v>
      </c>
    </row>
    <row r="9" spans="1:11" s="24" customFormat="1" x14ac:dyDescent="0.2">
      <c r="A9" s="20" t="s">
        <v>514</v>
      </c>
      <c r="B9" s="20" t="s">
        <v>396</v>
      </c>
      <c r="C9" s="21">
        <v>50</v>
      </c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1580.28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525</v>
      </c>
      <c r="B11" s="20" t="s">
        <v>389</v>
      </c>
      <c r="C11" s="20">
        <v>38.049999999999997</v>
      </c>
      <c r="D11" s="26"/>
      <c r="F11" s="68"/>
      <c r="G11" s="68"/>
      <c r="H11" s="68"/>
      <c r="I11" s="26"/>
    </row>
    <row r="12" spans="1:11" s="24" customFormat="1" x14ac:dyDescent="0.2">
      <c r="A12" s="20" t="s">
        <v>311</v>
      </c>
      <c r="B12" s="20" t="s">
        <v>394</v>
      </c>
      <c r="C12" s="21">
        <v>74.900000000000006</v>
      </c>
      <c r="D12" s="26"/>
      <c r="F12" s="33">
        <f>B3+B4</f>
        <v>4216.1000000000004</v>
      </c>
      <c r="G12" s="27">
        <f>C25+C26+C27+C28+C29+C30+C31+C32+C33</f>
        <v>1445</v>
      </c>
      <c r="H12" s="27">
        <f>F12-G12</f>
        <v>2771.1000000000004</v>
      </c>
      <c r="I12" s="26"/>
    </row>
    <row r="13" spans="1:11" s="24" customFormat="1" x14ac:dyDescent="0.2">
      <c r="A13" s="20" t="s">
        <v>517</v>
      </c>
      <c r="B13" s="20" t="s">
        <v>403</v>
      </c>
      <c r="C13" s="21">
        <v>150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76</v>
      </c>
      <c r="B14" s="20" t="s">
        <v>402</v>
      </c>
      <c r="C14" s="21">
        <v>14.99</v>
      </c>
      <c r="D14" s="26"/>
      <c r="F14" s="31"/>
      <c r="G14" s="31"/>
      <c r="H14" s="31"/>
      <c r="I14" s="26"/>
      <c r="J14" s="26"/>
      <c r="K14" s="26"/>
    </row>
    <row r="15" spans="1:11" s="24" customFormat="1" x14ac:dyDescent="0.2">
      <c r="A15" s="20" t="s">
        <v>521</v>
      </c>
      <c r="B15" s="20" t="s">
        <v>518</v>
      </c>
      <c r="C15" s="21">
        <v>542.02</v>
      </c>
      <c r="D15" s="26"/>
      <c r="F15" s="31"/>
      <c r="G15" s="31"/>
      <c r="H15" s="31"/>
    </row>
    <row r="16" spans="1:11" s="24" customFormat="1" x14ac:dyDescent="0.2">
      <c r="A16" s="20" t="s">
        <v>453</v>
      </c>
      <c r="B16" s="20" t="s">
        <v>398</v>
      </c>
      <c r="C16" s="21">
        <v>25</v>
      </c>
      <c r="D16" s="26"/>
      <c r="F16" s="31"/>
      <c r="G16" s="31"/>
      <c r="H16" s="31"/>
    </row>
    <row r="17" spans="1:9" s="24" customFormat="1" x14ac:dyDescent="0.2">
      <c r="A17" s="20" t="s">
        <v>528</v>
      </c>
      <c r="B17" s="20" t="s">
        <v>396</v>
      </c>
      <c r="C17" s="21">
        <v>50</v>
      </c>
      <c r="D17" s="26"/>
      <c r="F17" s="31"/>
      <c r="G17" s="31"/>
      <c r="H17" s="31"/>
    </row>
    <row r="18" spans="1:9" s="24" customFormat="1" x14ac:dyDescent="0.2">
      <c r="A18" s="20" t="s">
        <v>471</v>
      </c>
      <c r="B18" s="20" t="s">
        <v>401</v>
      </c>
      <c r="C18" s="21">
        <v>153.66</v>
      </c>
      <c r="F18" s="31"/>
      <c r="G18" s="31"/>
      <c r="H18" s="31"/>
    </row>
    <row r="19" spans="1:9" s="24" customFormat="1" x14ac:dyDescent="0.2">
      <c r="A19" s="20" t="s">
        <v>526</v>
      </c>
      <c r="B19" s="20" t="s">
        <v>391</v>
      </c>
      <c r="C19" s="55">
        <v>35</v>
      </c>
      <c r="D19" s="26"/>
      <c r="F19" s="31"/>
      <c r="G19" s="31"/>
      <c r="H19" s="31"/>
      <c r="I19" s="26"/>
    </row>
    <row r="20" spans="1:9" s="24" customFormat="1" x14ac:dyDescent="0.2">
      <c r="A20" s="20" t="s">
        <v>442</v>
      </c>
      <c r="B20" s="20" t="s">
        <v>523</v>
      </c>
      <c r="C20" s="21">
        <v>68</v>
      </c>
      <c r="D20" s="26"/>
      <c r="F20" s="31"/>
      <c r="G20" s="31"/>
      <c r="H20" s="31"/>
      <c r="I20" s="26"/>
    </row>
    <row r="21" spans="1:9" s="24" customFormat="1" x14ac:dyDescent="0.2">
      <c r="A21" s="20" t="s">
        <v>520</v>
      </c>
      <c r="B21" s="20" t="s">
        <v>400</v>
      </c>
      <c r="C21" s="21">
        <v>299.61</v>
      </c>
      <c r="D21" s="26"/>
      <c r="F21" s="31"/>
      <c r="G21" s="31"/>
      <c r="H21" s="31"/>
      <c r="I21" s="26"/>
    </row>
    <row r="22" spans="1:9" s="24" customFormat="1" x14ac:dyDescent="0.2">
      <c r="A22" s="20" t="s">
        <v>470</v>
      </c>
      <c r="B22" s="20" t="s">
        <v>400</v>
      </c>
      <c r="C22" s="21">
        <v>223.01</v>
      </c>
      <c r="D22" s="26"/>
      <c r="F22" s="31"/>
      <c r="G22" s="31"/>
      <c r="H22" s="31"/>
      <c r="I22" s="26"/>
    </row>
    <row r="23" spans="1:9" s="24" customFormat="1" x14ac:dyDescent="0.2">
      <c r="A23" s="29"/>
      <c r="B23" s="29"/>
      <c r="C23" s="30"/>
      <c r="D23" s="26"/>
      <c r="F23" s="31"/>
      <c r="G23" s="31"/>
      <c r="H23" s="31"/>
      <c r="I23" s="26"/>
    </row>
    <row r="24" spans="1:9" s="24" customFormat="1" x14ac:dyDescent="0.2">
      <c r="A24" s="32" t="s">
        <v>13</v>
      </c>
      <c r="B24" s="25"/>
      <c r="C24" s="27"/>
      <c r="D24" s="26"/>
      <c r="F24" s="31"/>
      <c r="G24" s="31"/>
      <c r="H24" s="31"/>
      <c r="I24" s="26"/>
    </row>
    <row r="25" spans="1:9" s="24" customFormat="1" x14ac:dyDescent="0.2">
      <c r="A25" s="20" t="s">
        <v>529</v>
      </c>
      <c r="B25" s="20" t="s">
        <v>396</v>
      </c>
      <c r="C25" s="21">
        <v>50</v>
      </c>
      <c r="D25" s="26"/>
      <c r="F25" s="31"/>
      <c r="G25" s="31"/>
      <c r="H25" s="31"/>
      <c r="I25" s="26"/>
    </row>
    <row r="26" spans="1:9" s="24" customFormat="1" x14ac:dyDescent="0.2">
      <c r="A26" s="20" t="s">
        <v>451</v>
      </c>
      <c r="B26" s="20" t="s">
        <v>452</v>
      </c>
      <c r="C26" s="21">
        <v>91</v>
      </c>
      <c r="D26" s="26"/>
      <c r="F26" s="31"/>
      <c r="G26" s="31"/>
      <c r="H26" s="31"/>
      <c r="I26" s="26"/>
    </row>
    <row r="27" spans="1:9" s="24" customFormat="1" x14ac:dyDescent="0.2">
      <c r="A27" s="20" t="s">
        <v>267</v>
      </c>
      <c r="B27" s="20" t="s">
        <v>404</v>
      </c>
      <c r="C27" s="55">
        <v>33.4</v>
      </c>
      <c r="D27" s="26"/>
      <c r="F27" s="31"/>
      <c r="G27" s="31"/>
      <c r="H27" s="31"/>
      <c r="I27" s="26"/>
    </row>
    <row r="28" spans="1:9" s="24" customFormat="1" x14ac:dyDescent="0.2">
      <c r="A28" s="20" t="s">
        <v>438</v>
      </c>
      <c r="B28" s="20" t="s">
        <v>405</v>
      </c>
      <c r="C28" s="21">
        <v>86.5</v>
      </c>
      <c r="D28" s="26"/>
      <c r="F28" s="31"/>
      <c r="G28" s="31"/>
      <c r="H28" s="31"/>
      <c r="I28" s="26"/>
    </row>
    <row r="29" spans="1:9" s="24" customFormat="1" x14ac:dyDescent="0.2">
      <c r="A29" s="20" t="s">
        <v>79</v>
      </c>
      <c r="B29" s="20" t="s">
        <v>390</v>
      </c>
      <c r="C29" s="21">
        <v>174.48</v>
      </c>
      <c r="D29" s="26"/>
      <c r="F29" s="31"/>
      <c r="G29" s="31"/>
      <c r="H29" s="31"/>
      <c r="I29" s="26"/>
    </row>
    <row r="30" spans="1:9" s="24" customFormat="1" x14ac:dyDescent="0.2">
      <c r="A30" s="20" t="s">
        <v>302</v>
      </c>
      <c r="B30" s="20" t="s">
        <v>388</v>
      </c>
      <c r="C30" s="21">
        <v>205</v>
      </c>
      <c r="D30" s="26"/>
      <c r="F30" s="31"/>
      <c r="G30" s="31"/>
      <c r="H30" s="31"/>
      <c r="I30" s="26"/>
    </row>
    <row r="31" spans="1:9" s="24" customFormat="1" x14ac:dyDescent="0.2">
      <c r="A31" s="20" t="s">
        <v>60</v>
      </c>
      <c r="B31" s="20" t="s">
        <v>395</v>
      </c>
      <c r="C31" s="21">
        <v>181.62</v>
      </c>
      <c r="D31" s="26"/>
      <c r="F31" s="31"/>
      <c r="G31" s="31"/>
      <c r="H31" s="31"/>
      <c r="I31" s="26"/>
    </row>
    <row r="32" spans="1:9" s="24" customFormat="1" x14ac:dyDescent="0.2">
      <c r="A32" s="20" t="s">
        <v>316</v>
      </c>
      <c r="B32" s="20" t="s">
        <v>392</v>
      </c>
      <c r="C32" s="21">
        <v>573</v>
      </c>
      <c r="D32" s="26"/>
      <c r="F32" s="26"/>
      <c r="G32" s="26"/>
      <c r="H32" s="26"/>
      <c r="I32" s="26"/>
    </row>
    <row r="33" spans="1:9" s="24" customFormat="1" x14ac:dyDescent="0.2">
      <c r="A33" s="20" t="s">
        <v>530</v>
      </c>
      <c r="B33" s="20" t="s">
        <v>396</v>
      </c>
      <c r="C33" s="21">
        <v>50</v>
      </c>
      <c r="D33" s="26"/>
      <c r="F33" s="68" t="s">
        <v>330</v>
      </c>
      <c r="G33" s="26"/>
      <c r="H33" s="26"/>
      <c r="I33" s="26"/>
    </row>
    <row r="34" spans="1:9" s="26" customFormat="1" x14ac:dyDescent="0.2">
      <c r="A34" s="14"/>
      <c r="B34" s="14"/>
      <c r="C34" s="14"/>
      <c r="F34" s="25">
        <f>(H8+H12)/2</f>
        <v>1841.3400000000006</v>
      </c>
    </row>
    <row r="35" spans="1:9" s="26" customFormat="1" x14ac:dyDescent="0.2">
      <c r="A35"/>
      <c r="B35"/>
      <c r="C35"/>
    </row>
    <row r="36" spans="1:9" s="24" customFormat="1" x14ac:dyDescent="0.2">
      <c r="A36" s="26"/>
      <c r="B36" s="26"/>
      <c r="C36"/>
      <c r="D36" s="26"/>
      <c r="H36" s="71"/>
    </row>
    <row r="37" spans="1:9" s="24" customFormat="1" x14ac:dyDescent="0.2">
      <c r="A37"/>
      <c r="B37"/>
      <c r="C37" s="26"/>
      <c r="D37" s="26"/>
      <c r="H37" s="71"/>
    </row>
    <row r="38" spans="1:9" s="26" customFormat="1" x14ac:dyDescent="0.2">
      <c r="A38" s="24"/>
      <c r="B38"/>
    </row>
    <row r="39" spans="1:9" s="26" customFormat="1" x14ac:dyDescent="0.2">
      <c r="A39" s="25" t="s">
        <v>464</v>
      </c>
      <c r="B39" s="25"/>
      <c r="F39"/>
    </row>
    <row r="40" spans="1:9" s="26" customFormat="1" x14ac:dyDescent="0.2">
      <c r="A40" s="4" t="s">
        <v>265</v>
      </c>
      <c r="B40" s="4" t="s">
        <v>473</v>
      </c>
      <c r="I40" s="24"/>
    </row>
    <row r="41" spans="1:9" s="26" customFormat="1" x14ac:dyDescent="0.2">
      <c r="A41" s="20"/>
      <c r="B41" s="4" t="s">
        <v>465</v>
      </c>
      <c r="C41"/>
      <c r="H41" s="24"/>
      <c r="I41" s="24"/>
    </row>
    <row r="42" spans="1:9" s="24" customFormat="1" x14ac:dyDescent="0.2">
      <c r="A42" s="20"/>
      <c r="B42" s="4" t="s">
        <v>466</v>
      </c>
      <c r="C42"/>
      <c r="D42" s="26"/>
      <c r="F42" s="26"/>
      <c r="G42" s="26"/>
    </row>
    <row r="43" spans="1:9" s="26" customFormat="1" x14ac:dyDescent="0.2">
      <c r="A43" s="20"/>
      <c r="B43" s="4" t="s">
        <v>484</v>
      </c>
      <c r="C43"/>
    </row>
    <row r="44" spans="1:9" s="26" customFormat="1" x14ac:dyDescent="0.2">
      <c r="A44" s="20"/>
      <c r="B44" s="4" t="s">
        <v>469</v>
      </c>
      <c r="C44"/>
    </row>
    <row r="45" spans="1:9" s="26" customFormat="1" x14ac:dyDescent="0.2">
      <c r="A45" s="20"/>
      <c r="B45" s="4"/>
      <c r="C45"/>
    </row>
    <row r="46" spans="1:9" s="24" customFormat="1" x14ac:dyDescent="0.2">
      <c r="A46" s="20"/>
      <c r="B46" s="4" t="s">
        <v>472</v>
      </c>
      <c r="C46"/>
      <c r="D46" s="26"/>
      <c r="F46" s="26"/>
      <c r="G46" s="26"/>
      <c r="I46"/>
    </row>
    <row r="47" spans="1:9" s="24" customFormat="1" x14ac:dyDescent="0.2">
      <c r="A47" s="20"/>
      <c r="B47" s="25" t="s">
        <v>467</v>
      </c>
      <c r="C47"/>
      <c r="D47" s="26"/>
      <c r="F47" s="26"/>
      <c r="I47"/>
    </row>
    <row r="48" spans="1:9" s="24" customFormat="1" x14ac:dyDescent="0.2">
      <c r="A48" s="20"/>
      <c r="B48" s="25" t="s">
        <v>476</v>
      </c>
      <c r="C48"/>
      <c r="D48" s="26"/>
      <c r="F48" s="26"/>
      <c r="G48" s="26"/>
      <c r="I48" s="26"/>
    </row>
    <row r="49" spans="1:9" s="26" customFormat="1" x14ac:dyDescent="0.2">
      <c r="A49" s="20"/>
      <c r="B49" s="25" t="s">
        <v>485</v>
      </c>
      <c r="C49"/>
    </row>
    <row r="50" spans="1:9" s="26" customFormat="1" x14ac:dyDescent="0.2">
      <c r="A50" s="20"/>
      <c r="B50" s="25" t="s">
        <v>468</v>
      </c>
      <c r="C50"/>
      <c r="I50"/>
    </row>
    <row r="51" spans="1:9" x14ac:dyDescent="0.2">
      <c r="A51" s="26"/>
      <c r="B51" s="26"/>
      <c r="F51" s="26"/>
      <c r="G51" s="26"/>
    </row>
    <row r="52" spans="1:9" x14ac:dyDescent="0.2">
      <c r="A52" s="26"/>
      <c r="B52" s="26"/>
      <c r="F52" s="26"/>
      <c r="G52" s="26"/>
    </row>
    <row r="53" spans="1:9" s="26" customFormat="1" x14ac:dyDescent="0.2">
      <c r="C53"/>
      <c r="I53"/>
    </row>
    <row r="54" spans="1:9" s="26" customFormat="1" x14ac:dyDescent="0.2">
      <c r="A54" s="25" t="s">
        <v>495</v>
      </c>
      <c r="B54" s="25"/>
      <c r="C54"/>
      <c r="F54"/>
      <c r="I54"/>
    </row>
    <row r="55" spans="1:9" x14ac:dyDescent="0.2">
      <c r="A55" s="25"/>
      <c r="B55" s="25" t="s">
        <v>496</v>
      </c>
      <c r="G55" s="26"/>
    </row>
    <row r="56" spans="1:9" x14ac:dyDescent="0.2">
      <c r="A56" s="25"/>
      <c r="B56" s="25" t="s">
        <v>497</v>
      </c>
      <c r="F56" s="26"/>
    </row>
    <row r="57" spans="1:9" x14ac:dyDescent="0.2">
      <c r="A57" s="25"/>
      <c r="B57" s="25" t="s">
        <v>502</v>
      </c>
      <c r="F57" s="26"/>
    </row>
    <row r="58" spans="1:9" x14ac:dyDescent="0.2">
      <c r="A58" s="25"/>
      <c r="B58" s="25" t="s">
        <v>503</v>
      </c>
    </row>
    <row r="59" spans="1:9" x14ac:dyDescent="0.2">
      <c r="A59" s="25"/>
      <c r="B59" s="25" t="s">
        <v>504</v>
      </c>
    </row>
    <row r="60" spans="1:9" x14ac:dyDescent="0.2">
      <c r="A60" s="25"/>
      <c r="B60" s="25"/>
    </row>
    <row r="61" spans="1:9" x14ac:dyDescent="0.2">
      <c r="A61" s="25"/>
      <c r="B61" s="25" t="s">
        <v>498</v>
      </c>
    </row>
    <row r="62" spans="1:9" x14ac:dyDescent="0.2">
      <c r="A62" s="25"/>
      <c r="B62" s="25" t="s">
        <v>499</v>
      </c>
    </row>
    <row r="63" spans="1:9" x14ac:dyDescent="0.2">
      <c r="A63" s="25"/>
      <c r="B63" s="25" t="s">
        <v>505</v>
      </c>
    </row>
    <row r="64" spans="1:9" x14ac:dyDescent="0.2">
      <c r="A64" s="25"/>
      <c r="B64" s="25" t="s">
        <v>506</v>
      </c>
    </row>
    <row r="65" spans="1:2" x14ac:dyDescent="0.2">
      <c r="A65" s="25"/>
      <c r="B65" s="25" t="s">
        <v>509</v>
      </c>
    </row>
    <row r="66" spans="1:2" x14ac:dyDescent="0.2">
      <c r="A66" s="25"/>
      <c r="B66" s="25"/>
    </row>
    <row r="67" spans="1:2" x14ac:dyDescent="0.2">
      <c r="A67" s="25"/>
      <c r="B67" s="25" t="s">
        <v>500</v>
      </c>
    </row>
    <row r="68" spans="1:2" x14ac:dyDescent="0.2">
      <c r="A68" s="25"/>
      <c r="B68" s="25" t="s">
        <v>501</v>
      </c>
    </row>
    <row r="69" spans="1:2" x14ac:dyDescent="0.2">
      <c r="A69" s="25"/>
      <c r="B69" s="25" t="s">
        <v>507</v>
      </c>
    </row>
    <row r="70" spans="1:2" x14ac:dyDescent="0.2">
      <c r="A70" s="25"/>
      <c r="B70" s="25" t="s">
        <v>508</v>
      </c>
    </row>
    <row r="71" spans="1:2" x14ac:dyDescent="0.2">
      <c r="A71" s="25"/>
      <c r="B71" s="25" t="s">
        <v>510</v>
      </c>
    </row>
    <row r="72" spans="1:2" x14ac:dyDescent="0.2">
      <c r="A72" s="26"/>
      <c r="B72" s="26"/>
    </row>
    <row r="73" spans="1:2" x14ac:dyDescent="0.2">
      <c r="A73" s="26"/>
      <c r="B73" s="26"/>
    </row>
    <row r="74" spans="1:2" x14ac:dyDescent="0.2">
      <c r="A74" s="26"/>
      <c r="B74" s="26"/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74"/>
  <sheetViews>
    <sheetView topLeftCell="A4" workbookViewId="0">
      <selection activeCell="A33" sqref="A33:C33"/>
    </sheetView>
  </sheetViews>
  <sheetFormatPr baseColWidth="10" defaultColWidth="8.83203125" defaultRowHeight="15" x14ac:dyDescent="0.2"/>
  <cols>
    <col min="1" max="1" width="44.5" bestFit="1" customWidth="1"/>
    <col min="2" max="2" width="66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524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2356.85</v>
      </c>
      <c r="C3" s="51">
        <v>2356.85</v>
      </c>
      <c r="H3" s="26"/>
    </row>
    <row r="4" spans="1:11" x14ac:dyDescent="0.2">
      <c r="A4" s="26" t="s">
        <v>265</v>
      </c>
      <c r="B4">
        <v>1258.4100000000001</v>
      </c>
      <c r="C4">
        <v>1258.4100000000001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3615.26</v>
      </c>
      <c r="G8" s="27">
        <f>C9+C10+C11+C12+C13+C14+C15+C16+C17+C18+C20+C19+C21+C22</f>
        <v>3314.54</v>
      </c>
      <c r="H8" s="27">
        <f>F8-G8</f>
        <v>300.72000000000025</v>
      </c>
    </row>
    <row r="9" spans="1:11" s="24" customFormat="1" x14ac:dyDescent="0.2">
      <c r="A9" s="20" t="s">
        <v>514</v>
      </c>
      <c r="B9" s="20" t="s">
        <v>396</v>
      </c>
      <c r="C9" s="21">
        <v>50</v>
      </c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1590.3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525</v>
      </c>
      <c r="B11" s="20" t="s">
        <v>389</v>
      </c>
      <c r="C11" s="20">
        <v>38.049999999999997</v>
      </c>
      <c r="D11" s="26"/>
      <c r="F11" s="68"/>
      <c r="G11" s="68"/>
      <c r="H11" s="68"/>
      <c r="I11" s="26"/>
    </row>
    <row r="12" spans="1:11" s="24" customFormat="1" x14ac:dyDescent="0.2">
      <c r="A12" s="20" t="s">
        <v>311</v>
      </c>
      <c r="B12" s="20" t="s">
        <v>394</v>
      </c>
      <c r="C12" s="21">
        <v>74.900000000000006</v>
      </c>
      <c r="D12" s="26"/>
      <c r="F12" s="33">
        <f>B3+B4</f>
        <v>3615.26</v>
      </c>
      <c r="G12" s="27">
        <f>C25+C26+C27+C28+C29+C30+C31+C32+C33</f>
        <v>1389.02</v>
      </c>
      <c r="H12" s="27">
        <f>F12-G12</f>
        <v>2226.2400000000002</v>
      </c>
      <c r="I12" s="26"/>
    </row>
    <row r="13" spans="1:11" s="24" customFormat="1" x14ac:dyDescent="0.2">
      <c r="A13" s="20" t="s">
        <v>517</v>
      </c>
      <c r="B13" s="20" t="s">
        <v>403</v>
      </c>
      <c r="C13" s="21">
        <v>150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76</v>
      </c>
      <c r="B14" s="20" t="s">
        <v>402</v>
      </c>
      <c r="C14" s="21">
        <v>14.99</v>
      </c>
      <c r="D14" s="26"/>
      <c r="F14" s="31"/>
      <c r="G14" s="31"/>
      <c r="H14" s="31"/>
      <c r="I14" s="26"/>
      <c r="J14" s="26"/>
      <c r="K14" s="26"/>
    </row>
    <row r="15" spans="1:11" s="24" customFormat="1" x14ac:dyDescent="0.2">
      <c r="A15" s="20" t="s">
        <v>521</v>
      </c>
      <c r="B15" s="20" t="s">
        <v>518</v>
      </c>
      <c r="C15" s="21">
        <v>542.02</v>
      </c>
      <c r="D15" s="26"/>
      <c r="F15" s="31"/>
      <c r="G15" s="31"/>
      <c r="H15" s="31"/>
    </row>
    <row r="16" spans="1:11" s="24" customFormat="1" x14ac:dyDescent="0.2">
      <c r="A16" s="20" t="s">
        <v>453</v>
      </c>
      <c r="B16" s="20" t="s">
        <v>398</v>
      </c>
      <c r="C16" s="21">
        <v>25</v>
      </c>
      <c r="D16" s="26"/>
      <c r="F16" s="31"/>
      <c r="G16" s="31"/>
      <c r="H16" s="31"/>
    </row>
    <row r="17" spans="1:9" s="24" customFormat="1" x14ac:dyDescent="0.2">
      <c r="A17" s="20" t="s">
        <v>350</v>
      </c>
      <c r="B17" s="20" t="s">
        <v>396</v>
      </c>
      <c r="C17" s="21">
        <v>50</v>
      </c>
      <c r="D17" s="26"/>
      <c r="F17" s="31"/>
      <c r="G17" s="31"/>
      <c r="H17" s="31"/>
    </row>
    <row r="18" spans="1:9" s="24" customFormat="1" x14ac:dyDescent="0.2">
      <c r="A18" s="20" t="s">
        <v>471</v>
      </c>
      <c r="B18" s="20" t="s">
        <v>401</v>
      </c>
      <c r="C18" s="21">
        <v>153.66</v>
      </c>
      <c r="F18" s="31"/>
      <c r="G18" s="31"/>
      <c r="H18" s="31"/>
    </row>
    <row r="19" spans="1:9" s="24" customFormat="1" x14ac:dyDescent="0.2">
      <c r="A19" s="20" t="s">
        <v>526</v>
      </c>
      <c r="B19" s="20" t="s">
        <v>391</v>
      </c>
      <c r="C19" s="55">
        <v>35</v>
      </c>
      <c r="D19" s="26"/>
      <c r="F19" s="31"/>
      <c r="G19" s="31"/>
      <c r="H19" s="31"/>
      <c r="I19" s="26"/>
    </row>
    <row r="20" spans="1:9" s="24" customFormat="1" x14ac:dyDescent="0.2">
      <c r="A20" s="20" t="s">
        <v>442</v>
      </c>
      <c r="B20" s="20" t="s">
        <v>523</v>
      </c>
      <c r="C20" s="21">
        <v>68</v>
      </c>
      <c r="D20" s="26"/>
      <c r="F20" s="31"/>
      <c r="G20" s="31"/>
      <c r="H20" s="31"/>
      <c r="I20" s="26"/>
    </row>
    <row r="21" spans="1:9" s="24" customFormat="1" x14ac:dyDescent="0.2">
      <c r="A21" s="20" t="s">
        <v>520</v>
      </c>
      <c r="B21" s="20" t="s">
        <v>400</v>
      </c>
      <c r="C21" s="21">
        <v>299.61</v>
      </c>
      <c r="D21" s="26"/>
      <c r="F21" s="31"/>
      <c r="G21" s="31"/>
      <c r="H21" s="31"/>
      <c r="I21" s="26"/>
    </row>
    <row r="22" spans="1:9" s="24" customFormat="1" x14ac:dyDescent="0.2">
      <c r="A22" s="20" t="s">
        <v>470</v>
      </c>
      <c r="B22" s="20" t="s">
        <v>400</v>
      </c>
      <c r="C22" s="21">
        <v>223.01</v>
      </c>
      <c r="D22" s="26"/>
      <c r="F22" s="31"/>
      <c r="G22" s="31"/>
      <c r="H22" s="31"/>
      <c r="I22" s="26"/>
    </row>
    <row r="23" spans="1:9" s="24" customFormat="1" x14ac:dyDescent="0.2">
      <c r="A23" s="29"/>
      <c r="B23" s="29"/>
      <c r="C23" s="30"/>
      <c r="D23" s="26"/>
      <c r="F23" s="31"/>
      <c r="G23" s="31"/>
      <c r="H23" s="31"/>
      <c r="I23" s="26"/>
    </row>
    <row r="24" spans="1:9" s="24" customFormat="1" x14ac:dyDescent="0.2">
      <c r="A24" s="32" t="s">
        <v>13</v>
      </c>
      <c r="B24" s="25"/>
      <c r="C24" s="27"/>
      <c r="D24" s="26"/>
      <c r="F24" s="31"/>
      <c r="G24" s="31"/>
      <c r="H24" s="31"/>
      <c r="I24" s="26"/>
    </row>
    <row r="25" spans="1:9" s="24" customFormat="1" x14ac:dyDescent="0.2">
      <c r="A25" s="20" t="s">
        <v>348</v>
      </c>
      <c r="B25" s="20" t="s">
        <v>396</v>
      </c>
      <c r="C25" s="21">
        <v>50</v>
      </c>
      <c r="D25" s="26"/>
      <c r="F25" s="31"/>
      <c r="G25" s="31"/>
      <c r="H25" s="31"/>
      <c r="I25" s="26"/>
    </row>
    <row r="26" spans="1:9" s="24" customFormat="1" x14ac:dyDescent="0.2">
      <c r="A26" s="20" t="s">
        <v>451</v>
      </c>
      <c r="B26" s="20" t="s">
        <v>452</v>
      </c>
      <c r="C26" s="21">
        <v>50</v>
      </c>
      <c r="D26" s="26"/>
      <c r="F26" s="31"/>
      <c r="G26" s="31"/>
      <c r="H26" s="31"/>
      <c r="I26" s="26"/>
    </row>
    <row r="27" spans="1:9" s="24" customFormat="1" x14ac:dyDescent="0.2">
      <c r="A27" s="20" t="s">
        <v>267</v>
      </c>
      <c r="B27" s="20" t="s">
        <v>404</v>
      </c>
      <c r="C27" s="55">
        <v>43.42</v>
      </c>
      <c r="D27" s="26"/>
      <c r="F27" s="31"/>
      <c r="G27" s="31"/>
      <c r="H27" s="31"/>
      <c r="I27" s="26"/>
    </row>
    <row r="28" spans="1:9" s="24" customFormat="1" x14ac:dyDescent="0.2">
      <c r="A28" s="48" t="s">
        <v>438</v>
      </c>
      <c r="B28" s="48" t="s">
        <v>405</v>
      </c>
      <c r="C28" s="76">
        <v>86.5</v>
      </c>
      <c r="D28" s="26"/>
      <c r="F28" s="31"/>
      <c r="G28" s="31"/>
      <c r="H28" s="31"/>
      <c r="I28" s="26"/>
    </row>
    <row r="29" spans="1:9" s="24" customFormat="1" x14ac:dyDescent="0.2">
      <c r="A29" s="20" t="s">
        <v>79</v>
      </c>
      <c r="B29" s="20" t="s">
        <v>390</v>
      </c>
      <c r="C29" s="21">
        <v>174.48</v>
      </c>
      <c r="D29" s="26"/>
      <c r="F29" s="31"/>
      <c r="G29" s="31"/>
      <c r="H29" s="31"/>
      <c r="I29" s="26"/>
    </row>
    <row r="30" spans="1:9" s="24" customFormat="1" x14ac:dyDescent="0.2">
      <c r="A30" s="20" t="s">
        <v>302</v>
      </c>
      <c r="B30" s="20" t="s">
        <v>388</v>
      </c>
      <c r="C30" s="21">
        <v>230</v>
      </c>
      <c r="D30" s="26"/>
      <c r="F30" s="31"/>
      <c r="G30" s="31"/>
      <c r="H30" s="31"/>
      <c r="I30" s="26"/>
    </row>
    <row r="31" spans="1:9" s="24" customFormat="1" x14ac:dyDescent="0.2">
      <c r="A31" s="20" t="s">
        <v>60</v>
      </c>
      <c r="B31" s="20" t="s">
        <v>395</v>
      </c>
      <c r="C31" s="21">
        <v>181.62</v>
      </c>
      <c r="D31" s="26"/>
      <c r="F31" s="31"/>
      <c r="G31" s="31"/>
      <c r="H31" s="31"/>
      <c r="I31" s="26"/>
    </row>
    <row r="32" spans="1:9" s="24" customFormat="1" x14ac:dyDescent="0.2">
      <c r="A32" s="20" t="s">
        <v>316</v>
      </c>
      <c r="B32" s="20" t="s">
        <v>392</v>
      </c>
      <c r="C32" s="21">
        <v>573</v>
      </c>
      <c r="D32" s="26"/>
      <c r="F32" s="26"/>
      <c r="G32" s="26"/>
      <c r="H32" s="26"/>
      <c r="I32" s="26"/>
    </row>
    <row r="33" spans="1:9" s="24" customFormat="1" x14ac:dyDescent="0.2">
      <c r="A33" s="20" t="s">
        <v>349</v>
      </c>
      <c r="B33" s="20" t="s">
        <v>396</v>
      </c>
      <c r="C33" s="21"/>
      <c r="D33" s="26"/>
      <c r="F33" s="68" t="s">
        <v>330</v>
      </c>
      <c r="G33" s="26"/>
      <c r="H33" s="26"/>
      <c r="I33" s="26"/>
    </row>
    <row r="34" spans="1:9" s="26" customFormat="1" x14ac:dyDescent="0.2">
      <c r="A34" s="14"/>
      <c r="B34" s="14"/>
      <c r="C34" s="14"/>
      <c r="F34" s="25">
        <f>(H8+H12)/2</f>
        <v>1263.4800000000002</v>
      </c>
    </row>
    <row r="35" spans="1:9" s="26" customFormat="1" x14ac:dyDescent="0.2">
      <c r="A35"/>
      <c r="B35"/>
      <c r="C35"/>
    </row>
    <row r="36" spans="1:9" s="24" customFormat="1" x14ac:dyDescent="0.2">
      <c r="A36" s="26"/>
      <c r="B36" s="26"/>
      <c r="C36"/>
      <c r="D36" s="26"/>
      <c r="H36" s="71"/>
    </row>
    <row r="37" spans="1:9" s="24" customFormat="1" x14ac:dyDescent="0.2">
      <c r="A37"/>
      <c r="B37"/>
      <c r="C37" s="26"/>
      <c r="D37" s="26"/>
      <c r="H37" s="71"/>
    </row>
    <row r="38" spans="1:9" s="26" customFormat="1" x14ac:dyDescent="0.2">
      <c r="A38" s="24"/>
      <c r="B38"/>
    </row>
    <row r="39" spans="1:9" s="26" customFormat="1" x14ac:dyDescent="0.2">
      <c r="A39" s="25" t="s">
        <v>464</v>
      </c>
      <c r="B39" s="25"/>
      <c r="F39"/>
    </row>
    <row r="40" spans="1:9" s="26" customFormat="1" x14ac:dyDescent="0.2">
      <c r="A40" s="4" t="s">
        <v>265</v>
      </c>
      <c r="B40" s="4" t="s">
        <v>473</v>
      </c>
      <c r="I40" s="24"/>
    </row>
    <row r="41" spans="1:9" s="26" customFormat="1" x14ac:dyDescent="0.2">
      <c r="A41" s="20"/>
      <c r="B41" s="4" t="s">
        <v>465</v>
      </c>
      <c r="C41"/>
      <c r="H41" s="24"/>
      <c r="I41" s="24"/>
    </row>
    <row r="42" spans="1:9" s="24" customFormat="1" x14ac:dyDescent="0.2">
      <c r="A42" s="20"/>
      <c r="B42" s="4" t="s">
        <v>466</v>
      </c>
      <c r="C42"/>
      <c r="D42" s="26"/>
      <c r="F42" s="26"/>
      <c r="G42" s="26"/>
    </row>
    <row r="43" spans="1:9" s="26" customFormat="1" x14ac:dyDescent="0.2">
      <c r="A43" s="20"/>
      <c r="B43" s="4" t="s">
        <v>484</v>
      </c>
      <c r="C43"/>
    </row>
    <row r="44" spans="1:9" s="26" customFormat="1" x14ac:dyDescent="0.2">
      <c r="A44" s="20"/>
      <c r="B44" s="4" t="s">
        <v>469</v>
      </c>
      <c r="C44"/>
    </row>
    <row r="45" spans="1:9" s="26" customFormat="1" x14ac:dyDescent="0.2">
      <c r="A45" s="20"/>
      <c r="B45" s="4"/>
      <c r="C45"/>
    </row>
    <row r="46" spans="1:9" s="24" customFormat="1" x14ac:dyDescent="0.2">
      <c r="A46" s="20"/>
      <c r="B46" s="4" t="s">
        <v>472</v>
      </c>
      <c r="C46"/>
      <c r="D46" s="26"/>
      <c r="F46" s="26"/>
      <c r="G46" s="26"/>
      <c r="I46"/>
    </row>
    <row r="47" spans="1:9" s="24" customFormat="1" x14ac:dyDescent="0.2">
      <c r="A47" s="20"/>
      <c r="B47" s="25" t="s">
        <v>467</v>
      </c>
      <c r="C47"/>
      <c r="D47" s="26"/>
      <c r="F47" s="26"/>
      <c r="I47"/>
    </row>
    <row r="48" spans="1:9" s="24" customFormat="1" x14ac:dyDescent="0.2">
      <c r="A48" s="20"/>
      <c r="B48" s="25" t="s">
        <v>476</v>
      </c>
      <c r="C48"/>
      <c r="D48" s="26"/>
      <c r="F48" s="26"/>
      <c r="G48" s="26"/>
      <c r="I48" s="26"/>
    </row>
    <row r="49" spans="1:9" s="26" customFormat="1" x14ac:dyDescent="0.2">
      <c r="A49" s="20"/>
      <c r="B49" s="25" t="s">
        <v>485</v>
      </c>
      <c r="C49"/>
    </row>
    <row r="50" spans="1:9" s="26" customFormat="1" x14ac:dyDescent="0.2">
      <c r="A50" s="20"/>
      <c r="B50" s="25" t="s">
        <v>468</v>
      </c>
      <c r="C50"/>
      <c r="I50"/>
    </row>
    <row r="51" spans="1:9" x14ac:dyDescent="0.2">
      <c r="A51" s="26"/>
      <c r="B51" s="26"/>
      <c r="F51" s="26"/>
      <c r="G51" s="26"/>
    </row>
    <row r="52" spans="1:9" x14ac:dyDescent="0.2">
      <c r="A52" s="26"/>
      <c r="B52" s="26"/>
      <c r="F52" s="26"/>
      <c r="G52" s="26"/>
    </row>
    <row r="53" spans="1:9" s="26" customFormat="1" x14ac:dyDescent="0.2">
      <c r="C53"/>
      <c r="I53"/>
    </row>
    <row r="54" spans="1:9" s="26" customFormat="1" x14ac:dyDescent="0.2">
      <c r="A54" s="25" t="s">
        <v>495</v>
      </c>
      <c r="B54" s="25"/>
      <c r="C54"/>
      <c r="F54"/>
      <c r="I54"/>
    </row>
    <row r="55" spans="1:9" x14ac:dyDescent="0.2">
      <c r="A55" s="25"/>
      <c r="B55" s="25" t="s">
        <v>496</v>
      </c>
      <c r="G55" s="26"/>
    </row>
    <row r="56" spans="1:9" x14ac:dyDescent="0.2">
      <c r="A56" s="25"/>
      <c r="B56" s="25" t="s">
        <v>497</v>
      </c>
      <c r="F56" s="26"/>
    </row>
    <row r="57" spans="1:9" x14ac:dyDescent="0.2">
      <c r="A57" s="25"/>
      <c r="B57" s="25" t="s">
        <v>502</v>
      </c>
      <c r="F57" s="26"/>
    </row>
    <row r="58" spans="1:9" x14ac:dyDescent="0.2">
      <c r="A58" s="25"/>
      <c r="B58" s="25" t="s">
        <v>503</v>
      </c>
    </row>
    <row r="59" spans="1:9" x14ac:dyDescent="0.2">
      <c r="A59" s="25"/>
      <c r="B59" s="25" t="s">
        <v>504</v>
      </c>
    </row>
    <row r="60" spans="1:9" x14ac:dyDescent="0.2">
      <c r="A60" s="25"/>
      <c r="B60" s="25"/>
    </row>
    <row r="61" spans="1:9" x14ac:dyDescent="0.2">
      <c r="A61" s="25"/>
      <c r="B61" s="25" t="s">
        <v>498</v>
      </c>
    </row>
    <row r="62" spans="1:9" x14ac:dyDescent="0.2">
      <c r="A62" s="25"/>
      <c r="B62" s="25" t="s">
        <v>499</v>
      </c>
    </row>
    <row r="63" spans="1:9" x14ac:dyDescent="0.2">
      <c r="A63" s="25"/>
      <c r="B63" s="25" t="s">
        <v>505</v>
      </c>
    </row>
    <row r="64" spans="1:9" x14ac:dyDescent="0.2">
      <c r="A64" s="25"/>
      <c r="B64" s="25" t="s">
        <v>506</v>
      </c>
    </row>
    <row r="65" spans="1:2" x14ac:dyDescent="0.2">
      <c r="A65" s="25"/>
      <c r="B65" s="25" t="s">
        <v>509</v>
      </c>
    </row>
    <row r="66" spans="1:2" x14ac:dyDescent="0.2">
      <c r="A66" s="25"/>
      <c r="B66" s="25"/>
    </row>
    <row r="67" spans="1:2" x14ac:dyDescent="0.2">
      <c r="A67" s="25"/>
      <c r="B67" s="25" t="s">
        <v>500</v>
      </c>
    </row>
    <row r="68" spans="1:2" x14ac:dyDescent="0.2">
      <c r="A68" s="25"/>
      <c r="B68" s="25" t="s">
        <v>501</v>
      </c>
    </row>
    <row r="69" spans="1:2" x14ac:dyDescent="0.2">
      <c r="A69" s="25"/>
      <c r="B69" s="25" t="s">
        <v>507</v>
      </c>
    </row>
    <row r="70" spans="1:2" x14ac:dyDescent="0.2">
      <c r="A70" s="25"/>
      <c r="B70" s="25" t="s">
        <v>508</v>
      </c>
    </row>
    <row r="71" spans="1:2" x14ac:dyDescent="0.2">
      <c r="A71" s="25"/>
      <c r="B71" s="25" t="s">
        <v>510</v>
      </c>
    </row>
    <row r="72" spans="1:2" x14ac:dyDescent="0.2">
      <c r="A72" s="26"/>
      <c r="B72" s="26"/>
    </row>
    <row r="73" spans="1:2" x14ac:dyDescent="0.2">
      <c r="A73" s="26"/>
      <c r="B73" s="26"/>
    </row>
    <row r="74" spans="1:2" x14ac:dyDescent="0.2">
      <c r="A74" s="26"/>
      <c r="B74" s="26"/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73"/>
  <sheetViews>
    <sheetView topLeftCell="A4" workbookViewId="0">
      <selection activeCell="A17" sqref="A17"/>
    </sheetView>
  </sheetViews>
  <sheetFormatPr baseColWidth="10" defaultColWidth="8.83203125" defaultRowHeight="15" x14ac:dyDescent="0.2"/>
  <cols>
    <col min="1" max="1" width="44.5" bestFit="1" customWidth="1"/>
    <col min="2" max="2" width="66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519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2356.85</v>
      </c>
      <c r="C3" s="51">
        <v>2356.85</v>
      </c>
      <c r="H3" s="26"/>
    </row>
    <row r="4" spans="1:11" x14ac:dyDescent="0.2">
      <c r="A4" s="26" t="s">
        <v>265</v>
      </c>
      <c r="B4">
        <v>1258.4100000000001</v>
      </c>
      <c r="C4">
        <v>1258.4100000000001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3615.26</v>
      </c>
      <c r="G8" s="27">
        <f>C9+C10+C11+C12+C13+C14+C15+C16+C17+C19+C18+C20+C21</f>
        <v>3356.4799999999996</v>
      </c>
      <c r="H8" s="27">
        <f>F8-G8</f>
        <v>258.78000000000065</v>
      </c>
    </row>
    <row r="9" spans="1:11" s="24" customFormat="1" x14ac:dyDescent="0.2">
      <c r="A9" s="20" t="s">
        <v>514</v>
      </c>
      <c r="B9" s="20" t="s">
        <v>396</v>
      </c>
      <c r="C9" s="21">
        <v>120</v>
      </c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1590.3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311</v>
      </c>
      <c r="B11" s="20" t="s">
        <v>394</v>
      </c>
      <c r="C11" s="21">
        <v>74.900000000000006</v>
      </c>
      <c r="D11" s="26"/>
      <c r="F11" s="33">
        <f>B3+B4</f>
        <v>3615.26</v>
      </c>
      <c r="G11" s="27">
        <f>C24+C25+C26+C27+C28+C29+C30+C31+C32</f>
        <v>1419.02</v>
      </c>
      <c r="H11" s="27">
        <f>F11-G11</f>
        <v>2196.2400000000002</v>
      </c>
      <c r="I11" s="26"/>
    </row>
    <row r="12" spans="1:11" s="24" customFormat="1" x14ac:dyDescent="0.2">
      <c r="A12" s="20" t="s">
        <v>517</v>
      </c>
      <c r="B12" s="20" t="s">
        <v>403</v>
      </c>
      <c r="C12" s="21">
        <v>150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76</v>
      </c>
      <c r="B13" s="20" t="s">
        <v>402</v>
      </c>
      <c r="C13" s="21">
        <v>14.99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521</v>
      </c>
      <c r="B14" s="20" t="s">
        <v>518</v>
      </c>
      <c r="C14" s="21">
        <v>542.02</v>
      </c>
      <c r="D14" s="26"/>
      <c r="F14" s="31"/>
      <c r="G14" s="31"/>
      <c r="H14" s="31"/>
    </row>
    <row r="15" spans="1:11" s="24" customFormat="1" x14ac:dyDescent="0.2">
      <c r="A15" s="20" t="s">
        <v>453</v>
      </c>
      <c r="B15" s="20" t="s">
        <v>398</v>
      </c>
      <c r="C15" s="21">
        <v>25</v>
      </c>
      <c r="D15" s="26"/>
      <c r="F15" s="31"/>
      <c r="G15" s="31"/>
      <c r="H15" s="31"/>
    </row>
    <row r="16" spans="1:11" s="24" customFormat="1" x14ac:dyDescent="0.2">
      <c r="A16" s="20" t="s">
        <v>350</v>
      </c>
      <c r="B16" s="20" t="s">
        <v>396</v>
      </c>
      <c r="C16" s="21">
        <v>50</v>
      </c>
      <c r="D16" s="26"/>
      <c r="F16" s="31"/>
      <c r="G16" s="31"/>
      <c r="H16" s="31"/>
    </row>
    <row r="17" spans="1:9" s="24" customFormat="1" x14ac:dyDescent="0.2">
      <c r="A17" s="20" t="s">
        <v>471</v>
      </c>
      <c r="B17" s="20" t="s">
        <v>401</v>
      </c>
      <c r="C17" s="21">
        <v>153.66</v>
      </c>
      <c r="F17" s="31"/>
      <c r="G17" s="31"/>
      <c r="H17" s="31"/>
    </row>
    <row r="18" spans="1:9" s="24" customFormat="1" x14ac:dyDescent="0.2">
      <c r="A18" s="20" t="s">
        <v>522</v>
      </c>
      <c r="B18" s="20" t="s">
        <v>391</v>
      </c>
      <c r="C18" s="55">
        <v>44.99</v>
      </c>
      <c r="D18" s="26"/>
      <c r="F18" s="31"/>
      <c r="G18" s="31"/>
      <c r="H18" s="31"/>
      <c r="I18" s="26"/>
    </row>
    <row r="19" spans="1:9" s="24" customFormat="1" x14ac:dyDescent="0.2">
      <c r="A19" s="20" t="s">
        <v>442</v>
      </c>
      <c r="B19" s="20" t="s">
        <v>523</v>
      </c>
      <c r="C19" s="21">
        <v>68</v>
      </c>
      <c r="D19" s="26"/>
      <c r="F19" s="31"/>
      <c r="G19" s="31"/>
      <c r="H19" s="31"/>
      <c r="I19" s="26"/>
    </row>
    <row r="20" spans="1:9" s="24" customFormat="1" x14ac:dyDescent="0.2">
      <c r="A20" s="20" t="s">
        <v>520</v>
      </c>
      <c r="B20" s="20" t="s">
        <v>400</v>
      </c>
      <c r="C20" s="21">
        <v>299.61</v>
      </c>
      <c r="D20" s="26"/>
      <c r="F20" s="31"/>
      <c r="G20" s="31"/>
      <c r="H20" s="31"/>
      <c r="I20" s="26"/>
    </row>
    <row r="21" spans="1:9" s="24" customFormat="1" x14ac:dyDescent="0.2">
      <c r="A21" s="20" t="s">
        <v>470</v>
      </c>
      <c r="B21" s="20" t="s">
        <v>400</v>
      </c>
      <c r="C21" s="21">
        <v>223.01</v>
      </c>
      <c r="D21" s="26"/>
      <c r="F21" s="31"/>
      <c r="G21" s="31"/>
      <c r="H21" s="31"/>
      <c r="I21" s="26"/>
    </row>
    <row r="22" spans="1:9" s="24" customFormat="1" x14ac:dyDescent="0.2">
      <c r="A22" s="29"/>
      <c r="B22" s="29"/>
      <c r="C22" s="30"/>
      <c r="D22" s="26"/>
      <c r="F22" s="31"/>
      <c r="G22" s="31"/>
      <c r="H22" s="31"/>
      <c r="I22" s="26"/>
    </row>
    <row r="23" spans="1:9" s="24" customFormat="1" x14ac:dyDescent="0.2">
      <c r="A23" s="32" t="s">
        <v>13</v>
      </c>
      <c r="B23" s="25"/>
      <c r="C23" s="27"/>
      <c r="D23" s="26"/>
      <c r="F23" s="31"/>
      <c r="G23" s="31"/>
      <c r="H23" s="31"/>
      <c r="I23" s="26"/>
    </row>
    <row r="24" spans="1:9" s="24" customFormat="1" x14ac:dyDescent="0.2">
      <c r="A24" s="20" t="s">
        <v>348</v>
      </c>
      <c r="B24" s="20" t="s">
        <v>396</v>
      </c>
      <c r="C24" s="21">
        <v>50</v>
      </c>
      <c r="D24" s="26"/>
      <c r="F24" s="31"/>
      <c r="G24" s="31"/>
      <c r="H24" s="31"/>
      <c r="I24" s="26"/>
    </row>
    <row r="25" spans="1:9" s="24" customFormat="1" x14ac:dyDescent="0.2">
      <c r="A25" s="20" t="s">
        <v>451</v>
      </c>
      <c r="B25" s="20" t="s">
        <v>452</v>
      </c>
      <c r="C25" s="21">
        <v>50</v>
      </c>
      <c r="D25" s="26"/>
      <c r="F25" s="31"/>
      <c r="G25" s="31"/>
      <c r="H25" s="31"/>
      <c r="I25" s="26"/>
    </row>
    <row r="26" spans="1:9" s="24" customFormat="1" x14ac:dyDescent="0.2">
      <c r="A26" s="20" t="s">
        <v>267</v>
      </c>
      <c r="B26" s="20" t="s">
        <v>404</v>
      </c>
      <c r="C26" s="55">
        <v>43.42</v>
      </c>
      <c r="D26" s="26"/>
      <c r="F26" s="31"/>
      <c r="G26" s="31"/>
      <c r="H26" s="31"/>
      <c r="I26" s="26"/>
    </row>
    <row r="27" spans="1:9" s="24" customFormat="1" x14ac:dyDescent="0.2">
      <c r="A27" s="20" t="s">
        <v>438</v>
      </c>
      <c r="B27" s="20" t="s">
        <v>405</v>
      </c>
      <c r="C27" s="21">
        <v>66.5</v>
      </c>
      <c r="D27" s="26"/>
      <c r="F27" s="31"/>
      <c r="G27" s="31"/>
      <c r="H27" s="31"/>
      <c r="I27" s="26"/>
    </row>
    <row r="28" spans="1:9" s="24" customFormat="1" x14ac:dyDescent="0.2">
      <c r="A28" s="20" t="s">
        <v>79</v>
      </c>
      <c r="B28" s="20" t="s">
        <v>390</v>
      </c>
      <c r="C28" s="21">
        <v>174.48</v>
      </c>
      <c r="D28" s="26"/>
      <c r="F28" s="31"/>
      <c r="G28" s="31"/>
      <c r="H28" s="31"/>
      <c r="I28" s="26"/>
    </row>
    <row r="29" spans="1:9" s="24" customFormat="1" x14ac:dyDescent="0.2">
      <c r="A29" s="20" t="s">
        <v>302</v>
      </c>
      <c r="B29" s="20" t="s">
        <v>388</v>
      </c>
      <c r="C29" s="21">
        <v>230</v>
      </c>
      <c r="D29" s="26"/>
      <c r="F29" s="31"/>
      <c r="G29" s="31"/>
      <c r="H29" s="31"/>
      <c r="I29" s="26"/>
    </row>
    <row r="30" spans="1:9" s="24" customFormat="1" x14ac:dyDescent="0.2">
      <c r="A30" s="20" t="s">
        <v>60</v>
      </c>
      <c r="B30" s="20" t="s">
        <v>395</v>
      </c>
      <c r="C30" s="21">
        <v>181.62</v>
      </c>
      <c r="D30" s="26"/>
      <c r="F30" s="31"/>
      <c r="G30" s="31"/>
      <c r="H30" s="31"/>
      <c r="I30" s="26"/>
    </row>
    <row r="31" spans="1:9" s="24" customFormat="1" x14ac:dyDescent="0.2">
      <c r="A31" s="20" t="s">
        <v>316</v>
      </c>
      <c r="B31" s="20" t="s">
        <v>392</v>
      </c>
      <c r="C31" s="21">
        <v>573</v>
      </c>
      <c r="D31" s="26"/>
      <c r="F31" s="26"/>
      <c r="G31" s="26"/>
      <c r="H31" s="26"/>
      <c r="I31" s="26"/>
    </row>
    <row r="32" spans="1:9" s="24" customFormat="1" x14ac:dyDescent="0.2">
      <c r="A32" s="20" t="s">
        <v>349</v>
      </c>
      <c r="B32" s="20" t="s">
        <v>396</v>
      </c>
      <c r="C32" s="21">
        <v>50</v>
      </c>
      <c r="D32" s="26"/>
      <c r="F32" s="68" t="s">
        <v>330</v>
      </c>
      <c r="G32" s="26"/>
      <c r="H32" s="26"/>
      <c r="I32" s="26"/>
    </row>
    <row r="33" spans="1:9" s="26" customFormat="1" x14ac:dyDescent="0.2">
      <c r="A33" s="14"/>
      <c r="B33" s="14"/>
      <c r="C33" s="14"/>
      <c r="F33" s="25">
        <f>(H8+H11)/2</f>
        <v>1227.5100000000004</v>
      </c>
    </row>
    <row r="34" spans="1:9" s="26" customFormat="1" x14ac:dyDescent="0.2">
      <c r="A34"/>
      <c r="B34"/>
      <c r="C34"/>
    </row>
    <row r="35" spans="1:9" s="24" customFormat="1" x14ac:dyDescent="0.2">
      <c r="A35" s="26"/>
      <c r="B35" s="26"/>
      <c r="C35"/>
      <c r="D35" s="26"/>
      <c r="H35" s="71"/>
    </row>
    <row r="36" spans="1:9" s="24" customFormat="1" x14ac:dyDescent="0.2">
      <c r="A36"/>
      <c r="B36"/>
      <c r="C36" s="26"/>
      <c r="D36" s="26"/>
      <c r="H36" s="71"/>
    </row>
    <row r="37" spans="1:9" s="26" customFormat="1" x14ac:dyDescent="0.2">
      <c r="A37" s="24"/>
      <c r="B37"/>
    </row>
    <row r="38" spans="1:9" s="26" customFormat="1" x14ac:dyDescent="0.2">
      <c r="A38" s="25" t="s">
        <v>464</v>
      </c>
      <c r="B38" s="25"/>
      <c r="F38"/>
    </row>
    <row r="39" spans="1:9" s="26" customFormat="1" x14ac:dyDescent="0.2">
      <c r="A39" s="4" t="s">
        <v>265</v>
      </c>
      <c r="B39" s="4" t="s">
        <v>473</v>
      </c>
      <c r="I39" s="24"/>
    </row>
    <row r="40" spans="1:9" s="26" customFormat="1" x14ac:dyDescent="0.2">
      <c r="A40" s="20"/>
      <c r="B40" s="4" t="s">
        <v>465</v>
      </c>
      <c r="C40"/>
      <c r="H40" s="24"/>
      <c r="I40" s="24"/>
    </row>
    <row r="41" spans="1:9" s="24" customFormat="1" x14ac:dyDescent="0.2">
      <c r="A41" s="20"/>
      <c r="B41" s="4" t="s">
        <v>466</v>
      </c>
      <c r="C41"/>
      <c r="D41" s="26"/>
      <c r="F41" s="26"/>
      <c r="G41" s="26"/>
    </row>
    <row r="42" spans="1:9" s="26" customFormat="1" x14ac:dyDescent="0.2">
      <c r="A42" s="20"/>
      <c r="B42" s="4" t="s">
        <v>484</v>
      </c>
      <c r="C42"/>
    </row>
    <row r="43" spans="1:9" s="26" customFormat="1" x14ac:dyDescent="0.2">
      <c r="A43" s="20"/>
      <c r="B43" s="4" t="s">
        <v>469</v>
      </c>
      <c r="C43"/>
    </row>
    <row r="44" spans="1:9" s="26" customFormat="1" x14ac:dyDescent="0.2">
      <c r="A44" s="20"/>
      <c r="B44" s="4"/>
      <c r="C44"/>
    </row>
    <row r="45" spans="1:9" s="24" customFormat="1" x14ac:dyDescent="0.2">
      <c r="A45" s="20"/>
      <c r="B45" s="4" t="s">
        <v>472</v>
      </c>
      <c r="C45"/>
      <c r="D45" s="26"/>
      <c r="F45" s="26"/>
      <c r="G45" s="26"/>
      <c r="I45"/>
    </row>
    <row r="46" spans="1:9" s="24" customFormat="1" x14ac:dyDescent="0.2">
      <c r="A46" s="20"/>
      <c r="B46" s="25" t="s">
        <v>467</v>
      </c>
      <c r="C46"/>
      <c r="D46" s="26"/>
      <c r="F46" s="26"/>
      <c r="I46"/>
    </row>
    <row r="47" spans="1:9" s="24" customFormat="1" x14ac:dyDescent="0.2">
      <c r="A47" s="20"/>
      <c r="B47" s="25" t="s">
        <v>476</v>
      </c>
      <c r="C47"/>
      <c r="D47" s="26"/>
      <c r="F47" s="26"/>
      <c r="G47" s="26"/>
      <c r="I47" s="26"/>
    </row>
    <row r="48" spans="1:9" s="26" customFormat="1" x14ac:dyDescent="0.2">
      <c r="A48" s="20"/>
      <c r="B48" s="25" t="s">
        <v>485</v>
      </c>
      <c r="C48"/>
    </row>
    <row r="49" spans="1:9" s="26" customFormat="1" x14ac:dyDescent="0.2">
      <c r="A49" s="20"/>
      <c r="B49" s="25" t="s">
        <v>468</v>
      </c>
      <c r="C49"/>
      <c r="I49"/>
    </row>
    <row r="50" spans="1:9" x14ac:dyDescent="0.2">
      <c r="A50" s="26"/>
      <c r="B50" s="26"/>
      <c r="F50" s="26"/>
      <c r="G50" s="26"/>
    </row>
    <row r="51" spans="1:9" x14ac:dyDescent="0.2">
      <c r="A51" s="26"/>
      <c r="B51" s="26"/>
      <c r="F51" s="26"/>
      <c r="G51" s="26"/>
    </row>
    <row r="52" spans="1:9" s="26" customFormat="1" x14ac:dyDescent="0.2">
      <c r="C52"/>
      <c r="I52"/>
    </row>
    <row r="53" spans="1:9" s="26" customFormat="1" x14ac:dyDescent="0.2">
      <c r="A53" s="25" t="s">
        <v>495</v>
      </c>
      <c r="B53" s="25"/>
      <c r="C53"/>
      <c r="F53"/>
      <c r="I53"/>
    </row>
    <row r="54" spans="1:9" x14ac:dyDescent="0.2">
      <c r="A54" s="25"/>
      <c r="B54" s="25" t="s">
        <v>496</v>
      </c>
      <c r="G54" s="26"/>
    </row>
    <row r="55" spans="1:9" x14ac:dyDescent="0.2">
      <c r="A55" s="25"/>
      <c r="B55" s="25" t="s">
        <v>497</v>
      </c>
      <c r="F55" s="26"/>
    </row>
    <row r="56" spans="1:9" x14ac:dyDescent="0.2">
      <c r="A56" s="25"/>
      <c r="B56" s="25" t="s">
        <v>502</v>
      </c>
      <c r="F56" s="26"/>
    </row>
    <row r="57" spans="1:9" x14ac:dyDescent="0.2">
      <c r="A57" s="25"/>
      <c r="B57" s="25" t="s">
        <v>503</v>
      </c>
    </row>
    <row r="58" spans="1:9" x14ac:dyDescent="0.2">
      <c r="A58" s="25"/>
      <c r="B58" s="25" t="s">
        <v>504</v>
      </c>
    </row>
    <row r="59" spans="1:9" x14ac:dyDescent="0.2">
      <c r="A59" s="25"/>
      <c r="B59" s="25"/>
    </row>
    <row r="60" spans="1:9" x14ac:dyDescent="0.2">
      <c r="A60" s="25"/>
      <c r="B60" s="25" t="s">
        <v>498</v>
      </c>
    </row>
    <row r="61" spans="1:9" x14ac:dyDescent="0.2">
      <c r="A61" s="25"/>
      <c r="B61" s="25" t="s">
        <v>499</v>
      </c>
    </row>
    <row r="62" spans="1:9" x14ac:dyDescent="0.2">
      <c r="A62" s="25"/>
      <c r="B62" s="25" t="s">
        <v>505</v>
      </c>
    </row>
    <row r="63" spans="1:9" x14ac:dyDescent="0.2">
      <c r="A63" s="25"/>
      <c r="B63" s="25" t="s">
        <v>506</v>
      </c>
    </row>
    <row r="64" spans="1:9" x14ac:dyDescent="0.2">
      <c r="A64" s="25"/>
      <c r="B64" s="25" t="s">
        <v>509</v>
      </c>
    </row>
    <row r="65" spans="1:2" x14ac:dyDescent="0.2">
      <c r="A65" s="25"/>
      <c r="B65" s="25"/>
    </row>
    <row r="66" spans="1:2" x14ac:dyDescent="0.2">
      <c r="A66" s="25"/>
      <c r="B66" s="25" t="s">
        <v>500</v>
      </c>
    </row>
    <row r="67" spans="1:2" x14ac:dyDescent="0.2">
      <c r="A67" s="25"/>
      <c r="B67" s="25" t="s">
        <v>501</v>
      </c>
    </row>
    <row r="68" spans="1:2" x14ac:dyDescent="0.2">
      <c r="A68" s="25"/>
      <c r="B68" s="25" t="s">
        <v>507</v>
      </c>
    </row>
    <row r="69" spans="1:2" x14ac:dyDescent="0.2">
      <c r="A69" s="25"/>
      <c r="B69" s="25" t="s">
        <v>508</v>
      </c>
    </row>
    <row r="70" spans="1:2" x14ac:dyDescent="0.2">
      <c r="A70" s="25"/>
      <c r="B70" s="25" t="s">
        <v>510</v>
      </c>
    </row>
    <row r="71" spans="1:2" x14ac:dyDescent="0.2">
      <c r="A71" s="26"/>
      <c r="B71" s="26"/>
    </row>
    <row r="72" spans="1:2" x14ac:dyDescent="0.2">
      <c r="A72" s="26"/>
      <c r="B72" s="26"/>
    </row>
    <row r="73" spans="1:2" x14ac:dyDescent="0.2">
      <c r="A73" s="26"/>
      <c r="B73" s="26"/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73"/>
  <sheetViews>
    <sheetView topLeftCell="A7" workbookViewId="0">
      <selection activeCell="A30" sqref="A30:C30"/>
    </sheetView>
  </sheetViews>
  <sheetFormatPr baseColWidth="10" defaultColWidth="8.83203125" defaultRowHeight="15" x14ac:dyDescent="0.2"/>
  <cols>
    <col min="1" max="1" width="44.5" bestFit="1" customWidth="1"/>
    <col min="2" max="2" width="66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516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2356.85</v>
      </c>
      <c r="C3" s="51">
        <v>2356.85</v>
      </c>
      <c r="H3" s="26"/>
    </row>
    <row r="4" spans="1:11" x14ac:dyDescent="0.2">
      <c r="A4" s="26" t="s">
        <v>265</v>
      </c>
      <c r="B4">
        <v>1258.4100000000001</v>
      </c>
      <c r="C4">
        <v>1258.4100000000001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3615.26</v>
      </c>
      <c r="G8" s="27">
        <f>C9+C10+C11+C12+C13+C14+C15+C16+C17+C18+C19+C20</f>
        <v>3099.8100000000004</v>
      </c>
      <c r="H8" s="27">
        <f>F8-G8</f>
        <v>515.44999999999982</v>
      </c>
    </row>
    <row r="9" spans="1:11" s="24" customFormat="1" x14ac:dyDescent="0.2">
      <c r="A9" s="20" t="s">
        <v>514</v>
      </c>
      <c r="B9" s="20" t="s">
        <v>396</v>
      </c>
      <c r="C9" s="21">
        <v>120</v>
      </c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1590.3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311</v>
      </c>
      <c r="B11" s="20" t="s">
        <v>394</v>
      </c>
      <c r="C11" s="21">
        <v>74.900000000000006</v>
      </c>
      <c r="D11" s="26"/>
      <c r="F11" s="33">
        <f>B3+B4</f>
        <v>3615.26</v>
      </c>
      <c r="G11" s="27">
        <f>C23+C24+C25+C26+C27+C28+C29+C30+C31+C32</f>
        <v>1741.1</v>
      </c>
      <c r="H11" s="27">
        <f>F11-G11</f>
        <v>1874.1600000000003</v>
      </c>
      <c r="I11" s="26"/>
    </row>
    <row r="12" spans="1:11" s="24" customFormat="1" x14ac:dyDescent="0.2">
      <c r="A12" s="20" t="s">
        <v>517</v>
      </c>
      <c r="B12" s="20" t="s">
        <v>403</v>
      </c>
      <c r="C12" s="21">
        <v>150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76</v>
      </c>
      <c r="B13" s="20" t="s">
        <v>402</v>
      </c>
      <c r="C13" s="21">
        <v>14.99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493</v>
      </c>
      <c r="B14" s="20" t="s">
        <v>518</v>
      </c>
      <c r="C14" s="21">
        <v>542.02</v>
      </c>
      <c r="D14" s="26"/>
      <c r="F14" s="31"/>
      <c r="G14" s="31"/>
      <c r="H14" s="31"/>
    </row>
    <row r="15" spans="1:11" s="24" customFormat="1" x14ac:dyDescent="0.2">
      <c r="A15" s="20" t="s">
        <v>453</v>
      </c>
      <c r="B15" s="20" t="s">
        <v>398</v>
      </c>
      <c r="C15" s="21">
        <v>25</v>
      </c>
      <c r="D15" s="26"/>
      <c r="F15" s="31"/>
      <c r="G15" s="31"/>
      <c r="H15" s="31"/>
    </row>
    <row r="16" spans="1:11" s="24" customFormat="1" x14ac:dyDescent="0.2">
      <c r="A16" s="20" t="s">
        <v>350</v>
      </c>
      <c r="B16" s="20" t="s">
        <v>396</v>
      </c>
      <c r="C16" s="21">
        <v>120</v>
      </c>
      <c r="F16" s="31"/>
      <c r="G16" s="31"/>
      <c r="H16" s="31"/>
    </row>
    <row r="17" spans="1:9" s="24" customFormat="1" x14ac:dyDescent="0.2">
      <c r="A17" s="20" t="s">
        <v>471</v>
      </c>
      <c r="B17" s="20" t="s">
        <v>401</v>
      </c>
      <c r="C17" s="21">
        <v>128.05000000000001</v>
      </c>
      <c r="D17" s="26"/>
      <c r="F17" s="31"/>
      <c r="G17" s="31"/>
      <c r="H17" s="31"/>
      <c r="I17" s="26"/>
    </row>
    <row r="18" spans="1:9" s="24" customFormat="1" x14ac:dyDescent="0.2">
      <c r="A18" s="20" t="s">
        <v>442</v>
      </c>
      <c r="B18" s="20" t="s">
        <v>441</v>
      </c>
      <c r="C18" s="21">
        <v>68</v>
      </c>
      <c r="D18" s="26"/>
      <c r="F18" s="31"/>
      <c r="G18" s="31"/>
      <c r="H18" s="31"/>
      <c r="I18" s="26"/>
    </row>
    <row r="19" spans="1:9" s="24" customFormat="1" x14ac:dyDescent="0.2">
      <c r="A19" s="20" t="s">
        <v>301</v>
      </c>
      <c r="B19" s="20" t="s">
        <v>391</v>
      </c>
      <c r="C19" s="55">
        <v>95</v>
      </c>
      <c r="D19" s="26"/>
      <c r="F19" s="31"/>
      <c r="G19" s="31"/>
      <c r="H19" s="31"/>
      <c r="I19" s="26"/>
    </row>
    <row r="20" spans="1:9" s="24" customFormat="1" x14ac:dyDescent="0.2">
      <c r="A20" s="20" t="s">
        <v>470</v>
      </c>
      <c r="B20" s="20" t="s">
        <v>400</v>
      </c>
      <c r="C20" s="21">
        <v>171.55</v>
      </c>
      <c r="D20" s="26"/>
      <c r="F20" s="31"/>
      <c r="G20" s="31"/>
      <c r="H20" s="31"/>
      <c r="I20" s="26"/>
    </row>
    <row r="21" spans="1:9" s="24" customFormat="1" x14ac:dyDescent="0.2">
      <c r="A21" s="29"/>
      <c r="B21" s="29"/>
      <c r="C21" s="30"/>
      <c r="D21" s="26"/>
      <c r="F21" s="31"/>
      <c r="G21" s="31"/>
      <c r="H21" s="31"/>
      <c r="I21" s="26"/>
    </row>
    <row r="22" spans="1:9" s="24" customFormat="1" x14ac:dyDescent="0.2">
      <c r="A22" s="32" t="s">
        <v>13</v>
      </c>
      <c r="B22" s="25"/>
      <c r="C22" s="27"/>
      <c r="D22" s="26"/>
      <c r="F22" s="31"/>
      <c r="G22" s="31"/>
      <c r="H22" s="31"/>
      <c r="I22" s="26"/>
    </row>
    <row r="23" spans="1:9" s="24" customFormat="1" x14ac:dyDescent="0.2">
      <c r="A23" s="20" t="s">
        <v>348</v>
      </c>
      <c r="B23" s="20" t="s">
        <v>396</v>
      </c>
      <c r="C23" s="21">
        <v>120</v>
      </c>
      <c r="D23" s="26"/>
      <c r="F23" s="31"/>
      <c r="G23" s="31"/>
      <c r="H23" s="31"/>
      <c r="I23" s="26"/>
    </row>
    <row r="24" spans="1:9" s="24" customFormat="1" x14ac:dyDescent="0.2">
      <c r="A24" s="20" t="s">
        <v>451</v>
      </c>
      <c r="B24" s="20" t="s">
        <v>452</v>
      </c>
      <c r="C24" s="21">
        <v>50</v>
      </c>
      <c r="D24" s="26"/>
      <c r="F24" s="31"/>
      <c r="G24" s="31"/>
      <c r="H24" s="31"/>
      <c r="I24" s="26"/>
    </row>
    <row r="25" spans="1:9" s="24" customFormat="1" x14ac:dyDescent="0.2">
      <c r="A25" s="20" t="s">
        <v>267</v>
      </c>
      <c r="B25" s="20" t="s">
        <v>404</v>
      </c>
      <c r="C25" s="55">
        <v>32</v>
      </c>
      <c r="D25" s="26"/>
      <c r="F25" s="31"/>
      <c r="G25" s="31"/>
      <c r="H25" s="31"/>
      <c r="I25" s="26"/>
    </row>
    <row r="26" spans="1:9" s="24" customFormat="1" x14ac:dyDescent="0.2">
      <c r="A26" s="20" t="s">
        <v>438</v>
      </c>
      <c r="B26" s="20" t="s">
        <v>405</v>
      </c>
      <c r="C26" s="21">
        <v>66.5</v>
      </c>
      <c r="D26" s="26"/>
      <c r="F26" s="31"/>
      <c r="G26" s="31"/>
      <c r="H26" s="31"/>
      <c r="I26" s="26"/>
    </row>
    <row r="27" spans="1:9" s="24" customFormat="1" x14ac:dyDescent="0.2">
      <c r="A27" s="20" t="s">
        <v>79</v>
      </c>
      <c r="B27" s="20" t="s">
        <v>390</v>
      </c>
      <c r="C27" s="21">
        <v>174.48</v>
      </c>
      <c r="D27" s="26"/>
      <c r="F27" s="31"/>
      <c r="G27" s="31"/>
      <c r="H27" s="31"/>
      <c r="I27" s="26"/>
    </row>
    <row r="28" spans="1:9" s="24" customFormat="1" x14ac:dyDescent="0.2">
      <c r="A28" s="20" t="s">
        <v>378</v>
      </c>
      <c r="B28" s="20" t="s">
        <v>393</v>
      </c>
      <c r="C28" s="21">
        <v>216.5</v>
      </c>
      <c r="D28" s="26"/>
      <c r="F28" s="31"/>
      <c r="G28" s="31"/>
      <c r="H28" s="31"/>
      <c r="I28" s="26"/>
    </row>
    <row r="29" spans="1:9" s="24" customFormat="1" x14ac:dyDescent="0.2">
      <c r="A29" s="20" t="s">
        <v>302</v>
      </c>
      <c r="B29" s="20" t="s">
        <v>388</v>
      </c>
      <c r="C29" s="21">
        <v>207</v>
      </c>
      <c r="D29" s="26"/>
      <c r="F29" s="31"/>
      <c r="G29" s="31"/>
      <c r="H29" s="31"/>
      <c r="I29" s="26"/>
    </row>
    <row r="30" spans="1:9" s="24" customFormat="1" x14ac:dyDescent="0.2">
      <c r="A30" s="20" t="s">
        <v>60</v>
      </c>
      <c r="B30" s="20" t="s">
        <v>395</v>
      </c>
      <c r="C30" s="21">
        <v>181.62</v>
      </c>
      <c r="D30" s="26"/>
      <c r="F30" s="31"/>
      <c r="G30" s="31"/>
      <c r="H30" s="31"/>
      <c r="I30" s="26"/>
    </row>
    <row r="31" spans="1:9" s="24" customFormat="1" x14ac:dyDescent="0.2">
      <c r="A31" s="20" t="s">
        <v>316</v>
      </c>
      <c r="B31" s="20" t="s">
        <v>392</v>
      </c>
      <c r="C31" s="21">
        <v>573</v>
      </c>
      <c r="D31" s="26"/>
      <c r="F31" s="26"/>
      <c r="G31" s="26"/>
      <c r="H31" s="26"/>
      <c r="I31" s="26"/>
    </row>
    <row r="32" spans="1:9" s="24" customFormat="1" x14ac:dyDescent="0.2">
      <c r="A32" s="20" t="s">
        <v>349</v>
      </c>
      <c r="B32" s="20" t="s">
        <v>396</v>
      </c>
      <c r="C32" s="21">
        <v>120</v>
      </c>
      <c r="D32" s="26"/>
      <c r="F32" s="68" t="s">
        <v>330</v>
      </c>
      <c r="G32" s="26"/>
      <c r="H32" s="26"/>
      <c r="I32" s="26"/>
    </row>
    <row r="33" spans="1:9" s="26" customFormat="1" x14ac:dyDescent="0.2">
      <c r="A33" s="14"/>
      <c r="B33" s="14"/>
      <c r="C33" s="14"/>
      <c r="F33" s="25">
        <f>(H8+H11)/2</f>
        <v>1194.8050000000001</v>
      </c>
    </row>
    <row r="34" spans="1:9" s="26" customFormat="1" x14ac:dyDescent="0.2">
      <c r="A34"/>
      <c r="B34"/>
      <c r="C34"/>
    </row>
    <row r="35" spans="1:9" s="24" customFormat="1" x14ac:dyDescent="0.2">
      <c r="A35" s="26"/>
      <c r="B35" s="26"/>
      <c r="C35"/>
      <c r="D35" s="26"/>
      <c r="H35" s="71"/>
    </row>
    <row r="36" spans="1:9" s="24" customFormat="1" x14ac:dyDescent="0.2">
      <c r="A36"/>
      <c r="B36"/>
      <c r="C36" s="26"/>
      <c r="D36" s="26"/>
      <c r="H36" s="71"/>
    </row>
    <row r="37" spans="1:9" s="26" customFormat="1" x14ac:dyDescent="0.2">
      <c r="A37" s="24"/>
      <c r="B37"/>
    </row>
    <row r="38" spans="1:9" s="26" customFormat="1" x14ac:dyDescent="0.2">
      <c r="A38" s="25" t="s">
        <v>464</v>
      </c>
      <c r="B38" s="25"/>
      <c r="F38"/>
    </row>
    <row r="39" spans="1:9" s="26" customFormat="1" x14ac:dyDescent="0.2">
      <c r="A39" s="4" t="s">
        <v>265</v>
      </c>
      <c r="B39" s="4" t="s">
        <v>473</v>
      </c>
      <c r="I39" s="24"/>
    </row>
    <row r="40" spans="1:9" s="26" customFormat="1" x14ac:dyDescent="0.2">
      <c r="A40" s="20"/>
      <c r="B40" s="4" t="s">
        <v>465</v>
      </c>
      <c r="C40"/>
      <c r="H40" s="24"/>
      <c r="I40" s="24"/>
    </row>
    <row r="41" spans="1:9" s="24" customFormat="1" x14ac:dyDescent="0.2">
      <c r="A41" s="20"/>
      <c r="B41" s="4" t="s">
        <v>466</v>
      </c>
      <c r="C41"/>
      <c r="D41" s="26"/>
      <c r="F41" s="26"/>
      <c r="G41" s="26"/>
    </row>
    <row r="42" spans="1:9" s="26" customFormat="1" x14ac:dyDescent="0.2">
      <c r="A42" s="20"/>
      <c r="B42" s="4" t="s">
        <v>484</v>
      </c>
      <c r="C42"/>
    </row>
    <row r="43" spans="1:9" s="26" customFormat="1" x14ac:dyDescent="0.2">
      <c r="A43" s="20"/>
      <c r="B43" s="4" t="s">
        <v>469</v>
      </c>
      <c r="C43"/>
    </row>
    <row r="44" spans="1:9" s="26" customFormat="1" x14ac:dyDescent="0.2">
      <c r="A44" s="20"/>
      <c r="B44" s="4"/>
      <c r="C44"/>
    </row>
    <row r="45" spans="1:9" s="24" customFormat="1" x14ac:dyDescent="0.2">
      <c r="A45" s="20"/>
      <c r="B45" s="4" t="s">
        <v>472</v>
      </c>
      <c r="C45"/>
      <c r="D45" s="26"/>
      <c r="F45" s="26"/>
      <c r="G45" s="26"/>
      <c r="I45"/>
    </row>
    <row r="46" spans="1:9" s="24" customFormat="1" x14ac:dyDescent="0.2">
      <c r="A46" s="20"/>
      <c r="B46" s="25" t="s">
        <v>467</v>
      </c>
      <c r="C46"/>
      <c r="D46" s="26"/>
      <c r="F46" s="26"/>
      <c r="I46"/>
    </row>
    <row r="47" spans="1:9" s="24" customFormat="1" x14ac:dyDescent="0.2">
      <c r="A47" s="20"/>
      <c r="B47" s="25" t="s">
        <v>476</v>
      </c>
      <c r="C47"/>
      <c r="D47" s="26"/>
      <c r="F47" s="26"/>
      <c r="G47" s="26"/>
      <c r="I47" s="26"/>
    </row>
    <row r="48" spans="1:9" s="26" customFormat="1" x14ac:dyDescent="0.2">
      <c r="A48" s="20"/>
      <c r="B48" s="25" t="s">
        <v>485</v>
      </c>
      <c r="C48"/>
    </row>
    <row r="49" spans="1:9" s="26" customFormat="1" x14ac:dyDescent="0.2">
      <c r="A49" s="20"/>
      <c r="B49" s="25" t="s">
        <v>468</v>
      </c>
      <c r="C49"/>
      <c r="I49"/>
    </row>
    <row r="50" spans="1:9" x14ac:dyDescent="0.2">
      <c r="A50" s="26"/>
      <c r="B50" s="26"/>
      <c r="F50" s="26"/>
      <c r="G50" s="26"/>
    </row>
    <row r="51" spans="1:9" x14ac:dyDescent="0.2">
      <c r="A51" s="26"/>
      <c r="B51" s="26"/>
      <c r="F51" s="26"/>
      <c r="G51" s="26"/>
    </row>
    <row r="52" spans="1:9" s="26" customFormat="1" x14ac:dyDescent="0.2">
      <c r="C52"/>
      <c r="I52"/>
    </row>
    <row r="53" spans="1:9" s="26" customFormat="1" x14ac:dyDescent="0.2">
      <c r="A53" s="25" t="s">
        <v>495</v>
      </c>
      <c r="B53" s="25"/>
      <c r="C53"/>
      <c r="F53"/>
      <c r="I53"/>
    </row>
    <row r="54" spans="1:9" x14ac:dyDescent="0.2">
      <c r="A54" s="25"/>
      <c r="B54" s="25" t="s">
        <v>496</v>
      </c>
      <c r="G54" s="26"/>
    </row>
    <row r="55" spans="1:9" x14ac:dyDescent="0.2">
      <c r="A55" s="25"/>
      <c r="B55" s="25" t="s">
        <v>497</v>
      </c>
      <c r="F55" s="26"/>
    </row>
    <row r="56" spans="1:9" x14ac:dyDescent="0.2">
      <c r="A56" s="25"/>
      <c r="B56" s="25" t="s">
        <v>502</v>
      </c>
      <c r="F56" s="26"/>
    </row>
    <row r="57" spans="1:9" x14ac:dyDescent="0.2">
      <c r="A57" s="25"/>
      <c r="B57" s="25" t="s">
        <v>503</v>
      </c>
    </row>
    <row r="58" spans="1:9" x14ac:dyDescent="0.2">
      <c r="A58" s="25"/>
      <c r="B58" s="25" t="s">
        <v>504</v>
      </c>
    </row>
    <row r="59" spans="1:9" x14ac:dyDescent="0.2">
      <c r="A59" s="25"/>
      <c r="B59" s="25"/>
    </row>
    <row r="60" spans="1:9" x14ac:dyDescent="0.2">
      <c r="A60" s="25"/>
      <c r="B60" s="25" t="s">
        <v>498</v>
      </c>
    </row>
    <row r="61" spans="1:9" x14ac:dyDescent="0.2">
      <c r="A61" s="25"/>
      <c r="B61" s="25" t="s">
        <v>499</v>
      </c>
    </row>
    <row r="62" spans="1:9" x14ac:dyDescent="0.2">
      <c r="A62" s="25"/>
      <c r="B62" s="25" t="s">
        <v>505</v>
      </c>
    </row>
    <row r="63" spans="1:9" x14ac:dyDescent="0.2">
      <c r="A63" s="25"/>
      <c r="B63" s="25" t="s">
        <v>506</v>
      </c>
    </row>
    <row r="64" spans="1:9" x14ac:dyDescent="0.2">
      <c r="A64" s="25"/>
      <c r="B64" s="25" t="s">
        <v>509</v>
      </c>
    </row>
    <row r="65" spans="1:2" x14ac:dyDescent="0.2">
      <c r="A65" s="25"/>
      <c r="B65" s="25"/>
    </row>
    <row r="66" spans="1:2" x14ac:dyDescent="0.2">
      <c r="A66" s="25"/>
      <c r="B66" s="25" t="s">
        <v>500</v>
      </c>
    </row>
    <row r="67" spans="1:2" x14ac:dyDescent="0.2">
      <c r="A67" s="25"/>
      <c r="B67" s="25" t="s">
        <v>501</v>
      </c>
    </row>
    <row r="68" spans="1:2" x14ac:dyDescent="0.2">
      <c r="A68" s="25"/>
      <c r="B68" s="25" t="s">
        <v>507</v>
      </c>
    </row>
    <row r="69" spans="1:2" x14ac:dyDescent="0.2">
      <c r="A69" s="25"/>
      <c r="B69" s="25" t="s">
        <v>508</v>
      </c>
    </row>
    <row r="70" spans="1:2" x14ac:dyDescent="0.2">
      <c r="A70" s="25"/>
      <c r="B70" s="25" t="s">
        <v>510</v>
      </c>
    </row>
    <row r="71" spans="1:2" x14ac:dyDescent="0.2">
      <c r="A71" s="26"/>
      <c r="B71" s="26"/>
    </row>
    <row r="72" spans="1:2" x14ac:dyDescent="0.2">
      <c r="A72" s="26"/>
      <c r="B72" s="26"/>
    </row>
    <row r="73" spans="1:2" x14ac:dyDescent="0.2">
      <c r="A73" s="26"/>
      <c r="B73" s="26"/>
    </row>
  </sheetData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72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44.5" bestFit="1" customWidth="1"/>
    <col min="2" max="2" width="66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515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2440.5</v>
      </c>
      <c r="C3" s="51">
        <v>2440.5</v>
      </c>
      <c r="H3" s="26"/>
    </row>
    <row r="4" spans="1:11" x14ac:dyDescent="0.2">
      <c r="A4" s="26" t="s">
        <v>265</v>
      </c>
      <c r="B4">
        <v>1258.4100000000001</v>
      </c>
      <c r="C4">
        <v>1258.4100000000001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3698.91</v>
      </c>
      <c r="G8" s="27">
        <f>C9+C10+C11+C12+C13+C14+C15+C16+C17+C18+C19</f>
        <v>2506.7900000000004</v>
      </c>
      <c r="H8" s="27">
        <f>F8-G8</f>
        <v>1192.1199999999994</v>
      </c>
    </row>
    <row r="9" spans="1:11" s="24" customFormat="1" x14ac:dyDescent="0.2">
      <c r="A9" s="20" t="s">
        <v>514</v>
      </c>
      <c r="B9" s="20" t="s">
        <v>396</v>
      </c>
      <c r="C9" s="21">
        <v>120</v>
      </c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1590.3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311</v>
      </c>
      <c r="B11" s="20" t="s">
        <v>394</v>
      </c>
      <c r="C11" s="21">
        <v>74.900000000000006</v>
      </c>
      <c r="D11" s="26"/>
      <c r="F11" s="33">
        <f>B3+B4</f>
        <v>3698.91</v>
      </c>
      <c r="G11" s="27">
        <f>C22+C23+C24+C25+C26+C27+C28+C29+C30+C31</f>
        <v>1756.77</v>
      </c>
      <c r="H11" s="27">
        <f>F11-G11</f>
        <v>1942.1399999999999</v>
      </c>
      <c r="I11" s="26"/>
    </row>
    <row r="12" spans="1:11" s="24" customFormat="1" x14ac:dyDescent="0.2">
      <c r="A12" s="20" t="s">
        <v>454</v>
      </c>
      <c r="B12" s="20" t="s">
        <v>403</v>
      </c>
      <c r="C12" s="21">
        <v>99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76</v>
      </c>
      <c r="B13" s="20" t="s">
        <v>402</v>
      </c>
      <c r="C13" s="21">
        <v>14.99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453</v>
      </c>
      <c r="B14" s="20" t="s">
        <v>398</v>
      </c>
      <c r="C14" s="21">
        <v>25</v>
      </c>
      <c r="D14" s="26"/>
      <c r="F14" s="31"/>
      <c r="G14" s="31"/>
      <c r="H14" s="31"/>
    </row>
    <row r="15" spans="1:11" s="24" customFormat="1" x14ac:dyDescent="0.2">
      <c r="A15" s="20" t="s">
        <v>350</v>
      </c>
      <c r="B15" s="20" t="s">
        <v>396</v>
      </c>
      <c r="C15" s="21">
        <v>120</v>
      </c>
      <c r="D15" s="26"/>
      <c r="F15" s="31"/>
      <c r="G15" s="31"/>
      <c r="H15" s="31"/>
    </row>
    <row r="16" spans="1:11" s="24" customFormat="1" x14ac:dyDescent="0.2">
      <c r="A16" s="20" t="s">
        <v>471</v>
      </c>
      <c r="B16" s="20" t="s">
        <v>401</v>
      </c>
      <c r="C16" s="21">
        <v>128.05000000000001</v>
      </c>
      <c r="F16" s="31"/>
      <c r="G16" s="31"/>
      <c r="H16" s="31"/>
    </row>
    <row r="17" spans="1:9" s="24" customFormat="1" x14ac:dyDescent="0.2">
      <c r="A17" s="20" t="s">
        <v>442</v>
      </c>
      <c r="B17" s="20" t="s">
        <v>441</v>
      </c>
      <c r="C17" s="21">
        <v>68</v>
      </c>
      <c r="D17" s="26"/>
      <c r="F17" s="31"/>
      <c r="G17" s="31"/>
      <c r="H17" s="31"/>
      <c r="I17" s="26"/>
    </row>
    <row r="18" spans="1:9" s="24" customFormat="1" x14ac:dyDescent="0.2">
      <c r="A18" s="20" t="s">
        <v>301</v>
      </c>
      <c r="B18" s="20" t="s">
        <v>391</v>
      </c>
      <c r="C18" s="55">
        <v>95</v>
      </c>
      <c r="D18" s="26"/>
      <c r="F18" s="31"/>
      <c r="G18" s="31"/>
      <c r="H18" s="31"/>
      <c r="I18" s="26"/>
    </row>
    <row r="19" spans="1:9" s="24" customFormat="1" x14ac:dyDescent="0.2">
      <c r="A19" s="20" t="s">
        <v>470</v>
      </c>
      <c r="B19" s="20" t="s">
        <v>400</v>
      </c>
      <c r="C19" s="21">
        <v>171.55</v>
      </c>
      <c r="D19" s="26"/>
      <c r="F19" s="31"/>
      <c r="G19" s="31"/>
      <c r="H19" s="31"/>
      <c r="I19" s="26"/>
    </row>
    <row r="20" spans="1:9" s="24" customFormat="1" x14ac:dyDescent="0.2">
      <c r="A20" s="29"/>
      <c r="B20" s="29"/>
      <c r="C20" s="30"/>
      <c r="D20" s="26"/>
      <c r="F20" s="31"/>
      <c r="G20" s="31"/>
      <c r="H20" s="31"/>
      <c r="I20" s="26"/>
    </row>
    <row r="21" spans="1:9" s="24" customFormat="1" x14ac:dyDescent="0.2">
      <c r="A21" s="32" t="s">
        <v>13</v>
      </c>
      <c r="B21" s="25"/>
      <c r="C21" s="27"/>
      <c r="D21" s="26"/>
      <c r="F21" s="31"/>
      <c r="G21" s="31"/>
      <c r="H21" s="31"/>
      <c r="I21" s="26"/>
    </row>
    <row r="22" spans="1:9" s="24" customFormat="1" x14ac:dyDescent="0.2">
      <c r="A22" s="20" t="s">
        <v>348</v>
      </c>
      <c r="B22" s="20" t="s">
        <v>396</v>
      </c>
      <c r="C22" s="21">
        <v>120</v>
      </c>
      <c r="D22" s="26"/>
      <c r="F22" s="31"/>
      <c r="G22" s="31"/>
      <c r="H22" s="31"/>
      <c r="I22" s="26"/>
    </row>
    <row r="23" spans="1:9" s="24" customFormat="1" x14ac:dyDescent="0.2">
      <c r="A23" s="20" t="s">
        <v>451</v>
      </c>
      <c r="B23" s="20" t="s">
        <v>452</v>
      </c>
      <c r="C23" s="21">
        <v>50</v>
      </c>
      <c r="D23" s="26"/>
      <c r="F23" s="31"/>
      <c r="G23" s="31"/>
      <c r="H23" s="31"/>
      <c r="I23" s="26"/>
    </row>
    <row r="24" spans="1:9" s="24" customFormat="1" x14ac:dyDescent="0.2">
      <c r="A24" s="20" t="s">
        <v>267</v>
      </c>
      <c r="B24" s="20" t="s">
        <v>404</v>
      </c>
      <c r="C24" s="55">
        <v>32</v>
      </c>
      <c r="D24" s="26"/>
      <c r="F24" s="31"/>
      <c r="G24" s="31"/>
      <c r="H24" s="31"/>
      <c r="I24" s="26"/>
    </row>
    <row r="25" spans="1:9" s="24" customFormat="1" x14ac:dyDescent="0.2">
      <c r="A25" s="20" t="s">
        <v>438</v>
      </c>
      <c r="B25" s="20" t="s">
        <v>405</v>
      </c>
      <c r="C25" s="21">
        <v>66.5</v>
      </c>
      <c r="D25" s="26"/>
      <c r="F25" s="31"/>
      <c r="G25" s="31"/>
      <c r="H25" s="31"/>
      <c r="I25" s="26"/>
    </row>
    <row r="26" spans="1:9" s="24" customFormat="1" x14ac:dyDescent="0.2">
      <c r="A26" s="20" t="s">
        <v>79</v>
      </c>
      <c r="B26" s="20" t="s">
        <v>390</v>
      </c>
      <c r="C26" s="21">
        <v>174.48</v>
      </c>
      <c r="D26" s="26"/>
      <c r="F26" s="31"/>
      <c r="G26" s="31"/>
      <c r="H26" s="31"/>
      <c r="I26" s="26"/>
    </row>
    <row r="27" spans="1:9" s="24" customFormat="1" x14ac:dyDescent="0.2">
      <c r="A27" s="20" t="s">
        <v>378</v>
      </c>
      <c r="B27" s="20" t="s">
        <v>393</v>
      </c>
      <c r="C27" s="21">
        <v>216.5</v>
      </c>
      <c r="D27" s="26"/>
      <c r="F27" s="31"/>
      <c r="G27" s="31"/>
      <c r="H27" s="31"/>
      <c r="I27" s="26"/>
    </row>
    <row r="28" spans="1:9" s="24" customFormat="1" x14ac:dyDescent="0.2">
      <c r="A28" s="20" t="s">
        <v>302</v>
      </c>
      <c r="B28" s="20" t="s">
        <v>388</v>
      </c>
      <c r="C28" s="21">
        <v>207</v>
      </c>
      <c r="D28" s="26"/>
      <c r="F28" s="31"/>
      <c r="G28" s="31"/>
      <c r="H28" s="31"/>
      <c r="I28" s="26"/>
    </row>
    <row r="29" spans="1:9" s="24" customFormat="1" x14ac:dyDescent="0.2">
      <c r="A29" s="20" t="s">
        <v>60</v>
      </c>
      <c r="B29" s="20" t="s">
        <v>395</v>
      </c>
      <c r="C29" s="21">
        <v>197.29</v>
      </c>
      <c r="D29" s="26"/>
      <c r="F29" s="31"/>
      <c r="G29" s="31"/>
      <c r="H29" s="31"/>
      <c r="I29" s="26"/>
    </row>
    <row r="30" spans="1:9" s="24" customFormat="1" x14ac:dyDescent="0.2">
      <c r="A30" s="20" t="s">
        <v>316</v>
      </c>
      <c r="B30" s="20" t="s">
        <v>392</v>
      </c>
      <c r="C30" s="21">
        <v>573</v>
      </c>
      <c r="D30" s="26"/>
      <c r="F30" s="31"/>
      <c r="G30" s="31"/>
      <c r="H30" s="31"/>
      <c r="I30" s="26"/>
    </row>
    <row r="31" spans="1:9" s="24" customFormat="1" x14ac:dyDescent="0.2">
      <c r="A31" s="20" t="s">
        <v>349</v>
      </c>
      <c r="B31" s="20" t="s">
        <v>396</v>
      </c>
      <c r="C31" s="21">
        <v>120</v>
      </c>
      <c r="D31" s="26"/>
      <c r="F31" s="26"/>
      <c r="G31" s="26"/>
      <c r="H31" s="26"/>
      <c r="I31" s="26"/>
    </row>
    <row r="32" spans="1:9" s="24" customFormat="1" x14ac:dyDescent="0.2">
      <c r="A32" s="14"/>
      <c r="B32" s="14"/>
      <c r="C32" s="14"/>
      <c r="D32" s="26"/>
      <c r="F32" s="68" t="s">
        <v>330</v>
      </c>
      <c r="G32" s="26"/>
      <c r="H32" s="26"/>
      <c r="I32" s="26"/>
    </row>
    <row r="33" spans="1:9" s="26" customFormat="1" x14ac:dyDescent="0.2">
      <c r="A33"/>
      <c r="B33"/>
      <c r="C33"/>
      <c r="F33" s="25">
        <f>(H8+H11)/2</f>
        <v>1567.1299999999997</v>
      </c>
    </row>
    <row r="34" spans="1:9" s="26" customFormat="1" x14ac:dyDescent="0.2">
      <c r="C34"/>
    </row>
    <row r="35" spans="1:9" s="24" customFormat="1" x14ac:dyDescent="0.2">
      <c r="A35"/>
      <c r="B35"/>
      <c r="C35" s="26"/>
      <c r="D35" s="26"/>
      <c r="H35" s="71"/>
    </row>
    <row r="36" spans="1:9" s="24" customFormat="1" x14ac:dyDescent="0.2">
      <c r="B36"/>
      <c r="C36" s="26"/>
      <c r="D36" s="26"/>
      <c r="H36" s="71"/>
    </row>
    <row r="37" spans="1:9" s="26" customFormat="1" x14ac:dyDescent="0.2">
      <c r="A37" s="25" t="s">
        <v>464</v>
      </c>
      <c r="B37" s="25"/>
    </row>
    <row r="38" spans="1:9" s="26" customFormat="1" x14ac:dyDescent="0.2">
      <c r="A38" s="4" t="s">
        <v>265</v>
      </c>
      <c r="B38" s="4" t="s">
        <v>473</v>
      </c>
      <c r="F38"/>
    </row>
    <row r="39" spans="1:9" s="26" customFormat="1" x14ac:dyDescent="0.2">
      <c r="A39" s="20"/>
      <c r="B39" s="4" t="s">
        <v>465</v>
      </c>
      <c r="C39"/>
      <c r="I39" s="24"/>
    </row>
    <row r="40" spans="1:9" s="26" customFormat="1" x14ac:dyDescent="0.2">
      <c r="A40" s="20"/>
      <c r="B40" s="4" t="s">
        <v>466</v>
      </c>
      <c r="C40"/>
      <c r="H40" s="24"/>
      <c r="I40" s="24"/>
    </row>
    <row r="41" spans="1:9" s="24" customFormat="1" x14ac:dyDescent="0.2">
      <c r="A41" s="20"/>
      <c r="B41" s="4" t="s">
        <v>484</v>
      </c>
      <c r="C41"/>
      <c r="D41" s="26"/>
      <c r="F41" s="26"/>
      <c r="G41" s="26"/>
    </row>
    <row r="42" spans="1:9" s="26" customFormat="1" x14ac:dyDescent="0.2">
      <c r="A42" s="20"/>
      <c r="B42" s="4" t="s">
        <v>469</v>
      </c>
      <c r="C42"/>
    </row>
    <row r="43" spans="1:9" s="26" customFormat="1" x14ac:dyDescent="0.2">
      <c r="A43" s="20"/>
      <c r="B43" s="4"/>
      <c r="C43"/>
    </row>
    <row r="44" spans="1:9" s="26" customFormat="1" x14ac:dyDescent="0.2">
      <c r="A44" s="20"/>
      <c r="B44" s="4" t="s">
        <v>472</v>
      </c>
      <c r="C44"/>
    </row>
    <row r="45" spans="1:9" s="24" customFormat="1" x14ac:dyDescent="0.2">
      <c r="A45" s="20"/>
      <c r="B45" s="25" t="s">
        <v>467</v>
      </c>
      <c r="C45"/>
      <c r="D45" s="26"/>
      <c r="F45" s="26"/>
      <c r="G45" s="26"/>
      <c r="I45"/>
    </row>
    <row r="46" spans="1:9" s="24" customFormat="1" x14ac:dyDescent="0.2">
      <c r="A46" s="20"/>
      <c r="B46" s="25" t="s">
        <v>476</v>
      </c>
      <c r="C46"/>
      <c r="D46" s="26"/>
      <c r="F46" s="26"/>
      <c r="I46"/>
    </row>
    <row r="47" spans="1:9" s="24" customFormat="1" x14ac:dyDescent="0.2">
      <c r="A47" s="20"/>
      <c r="B47" s="25" t="s">
        <v>485</v>
      </c>
      <c r="C47"/>
      <c r="D47" s="26"/>
      <c r="F47" s="26"/>
      <c r="G47" s="26"/>
      <c r="I47" s="26"/>
    </row>
    <row r="48" spans="1:9" s="26" customFormat="1" x14ac:dyDescent="0.2">
      <c r="A48" s="20"/>
      <c r="B48" s="25" t="s">
        <v>468</v>
      </c>
      <c r="C48"/>
    </row>
    <row r="49" spans="1:9" s="26" customFormat="1" x14ac:dyDescent="0.2">
      <c r="C49"/>
      <c r="I49"/>
    </row>
    <row r="50" spans="1:9" x14ac:dyDescent="0.2">
      <c r="A50" s="26"/>
      <c r="B50" s="26"/>
      <c r="F50" s="26"/>
      <c r="G50" s="26"/>
    </row>
    <row r="51" spans="1:9" x14ac:dyDescent="0.2">
      <c r="A51" s="26"/>
      <c r="B51" s="26"/>
      <c r="F51" s="26"/>
      <c r="G51" s="26"/>
    </row>
    <row r="52" spans="1:9" s="26" customFormat="1" x14ac:dyDescent="0.2">
      <c r="A52" s="25" t="s">
        <v>495</v>
      </c>
      <c r="B52" s="25"/>
      <c r="C52"/>
      <c r="I52"/>
    </row>
    <row r="53" spans="1:9" s="26" customFormat="1" x14ac:dyDescent="0.2">
      <c r="A53" s="25"/>
      <c r="B53" s="25" t="s">
        <v>496</v>
      </c>
      <c r="C53"/>
      <c r="F53"/>
      <c r="I53"/>
    </row>
    <row r="54" spans="1:9" x14ac:dyDescent="0.2">
      <c r="A54" s="25"/>
      <c r="B54" s="25" t="s">
        <v>497</v>
      </c>
      <c r="G54" s="26"/>
    </row>
    <row r="55" spans="1:9" x14ac:dyDescent="0.2">
      <c r="A55" s="25"/>
      <c r="B55" s="25" t="s">
        <v>502</v>
      </c>
      <c r="F55" s="26"/>
    </row>
    <row r="56" spans="1:9" x14ac:dyDescent="0.2">
      <c r="A56" s="25"/>
      <c r="B56" s="25" t="s">
        <v>503</v>
      </c>
      <c r="F56" s="26"/>
    </row>
    <row r="57" spans="1:9" x14ac:dyDescent="0.2">
      <c r="A57" s="25"/>
      <c r="B57" s="25" t="s">
        <v>504</v>
      </c>
    </row>
    <row r="58" spans="1:9" x14ac:dyDescent="0.2">
      <c r="A58" s="25"/>
      <c r="B58" s="25"/>
    </row>
    <row r="59" spans="1:9" x14ac:dyDescent="0.2">
      <c r="A59" s="25"/>
      <c r="B59" s="25" t="s">
        <v>498</v>
      </c>
    </row>
    <row r="60" spans="1:9" x14ac:dyDescent="0.2">
      <c r="A60" s="25"/>
      <c r="B60" s="25" t="s">
        <v>499</v>
      </c>
    </row>
    <row r="61" spans="1:9" x14ac:dyDescent="0.2">
      <c r="A61" s="25"/>
      <c r="B61" s="25" t="s">
        <v>505</v>
      </c>
    </row>
    <row r="62" spans="1:9" x14ac:dyDescent="0.2">
      <c r="A62" s="25"/>
      <c r="B62" s="25" t="s">
        <v>506</v>
      </c>
    </row>
    <row r="63" spans="1:9" x14ac:dyDescent="0.2">
      <c r="A63" s="25"/>
      <c r="B63" s="25" t="s">
        <v>509</v>
      </c>
    </row>
    <row r="64" spans="1:9" x14ac:dyDescent="0.2">
      <c r="A64" s="25"/>
      <c r="B64" s="25"/>
    </row>
    <row r="65" spans="1:2" x14ac:dyDescent="0.2">
      <c r="A65" s="25"/>
      <c r="B65" s="25" t="s">
        <v>500</v>
      </c>
    </row>
    <row r="66" spans="1:2" x14ac:dyDescent="0.2">
      <c r="A66" s="25"/>
      <c r="B66" s="25" t="s">
        <v>501</v>
      </c>
    </row>
    <row r="67" spans="1:2" x14ac:dyDescent="0.2">
      <c r="A67" s="25"/>
      <c r="B67" s="25" t="s">
        <v>507</v>
      </c>
    </row>
    <row r="68" spans="1:2" x14ac:dyDescent="0.2">
      <c r="A68" s="25"/>
      <c r="B68" s="25" t="s">
        <v>508</v>
      </c>
    </row>
    <row r="69" spans="1:2" x14ac:dyDescent="0.2">
      <c r="A69" s="25"/>
      <c r="B69" s="25" t="s">
        <v>510</v>
      </c>
    </row>
    <row r="70" spans="1:2" x14ac:dyDescent="0.2">
      <c r="A70" s="26"/>
      <c r="B70" s="26"/>
    </row>
    <row r="71" spans="1:2" x14ac:dyDescent="0.2">
      <c r="A71" s="26"/>
      <c r="B71" s="26"/>
    </row>
    <row r="72" spans="1:2" x14ac:dyDescent="0.2">
      <c r="A72" s="26"/>
      <c r="B72" s="26"/>
    </row>
  </sheetData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73"/>
  <sheetViews>
    <sheetView workbookViewId="0">
      <selection activeCell="C9" sqref="C9:C32"/>
    </sheetView>
  </sheetViews>
  <sheetFormatPr baseColWidth="10" defaultColWidth="8.83203125" defaultRowHeight="15" x14ac:dyDescent="0.2"/>
  <cols>
    <col min="1" max="1" width="44.5" bestFit="1" customWidth="1"/>
    <col min="2" max="2" width="66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513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2440.5</v>
      </c>
      <c r="C3" s="51">
        <v>2440.5</v>
      </c>
      <c r="H3" s="26"/>
    </row>
    <row r="4" spans="1:11" x14ac:dyDescent="0.2">
      <c r="A4" s="26" t="s">
        <v>265</v>
      </c>
      <c r="B4">
        <v>1258.4100000000001</v>
      </c>
      <c r="C4">
        <v>1258.4100000000001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3698.91</v>
      </c>
      <c r="G8" s="27">
        <f>C9+C10+C11+C12+C13+C14+C15+C16+C17+C18+C19</f>
        <v>2506.7900000000004</v>
      </c>
      <c r="H8" s="27">
        <f>F8-G8</f>
        <v>1192.1199999999994</v>
      </c>
    </row>
    <row r="9" spans="1:11" s="24" customFormat="1" x14ac:dyDescent="0.2">
      <c r="A9" s="25" t="s">
        <v>514</v>
      </c>
      <c r="B9" s="25" t="s">
        <v>396</v>
      </c>
      <c r="C9" s="21">
        <v>120</v>
      </c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1590.3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311</v>
      </c>
      <c r="B11" s="20" t="s">
        <v>394</v>
      </c>
      <c r="C11" s="21">
        <v>74.900000000000006</v>
      </c>
      <c r="D11" s="26"/>
      <c r="F11" s="33">
        <f>B3+B4</f>
        <v>3698.91</v>
      </c>
      <c r="G11" s="27">
        <f>C22+C23+C24+C25+C26+C27+C28+C29+C30+C31+C32</f>
        <v>2288.79</v>
      </c>
      <c r="H11" s="27">
        <f>F11-G11</f>
        <v>1410.12</v>
      </c>
      <c r="I11" s="26"/>
    </row>
    <row r="12" spans="1:11" s="24" customFormat="1" x14ac:dyDescent="0.2">
      <c r="A12" s="20" t="s">
        <v>454</v>
      </c>
      <c r="B12" s="20" t="s">
        <v>403</v>
      </c>
      <c r="C12" s="21">
        <v>99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76</v>
      </c>
      <c r="B13" s="20" t="s">
        <v>402</v>
      </c>
      <c r="C13" s="21">
        <v>14.99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453</v>
      </c>
      <c r="B14" s="20" t="s">
        <v>398</v>
      </c>
      <c r="C14" s="21">
        <v>25</v>
      </c>
      <c r="D14" s="26"/>
      <c r="F14" s="31"/>
      <c r="G14" s="31"/>
      <c r="H14" s="31"/>
    </row>
    <row r="15" spans="1:11" s="24" customFormat="1" x14ac:dyDescent="0.2">
      <c r="A15" s="20" t="s">
        <v>350</v>
      </c>
      <c r="B15" s="20" t="s">
        <v>396</v>
      </c>
      <c r="C15" s="21">
        <v>120</v>
      </c>
      <c r="D15" s="26"/>
      <c r="F15" s="31"/>
      <c r="G15" s="31"/>
      <c r="H15" s="31"/>
    </row>
    <row r="16" spans="1:11" s="24" customFormat="1" x14ac:dyDescent="0.2">
      <c r="A16" s="20" t="s">
        <v>471</v>
      </c>
      <c r="B16" s="20" t="s">
        <v>401</v>
      </c>
      <c r="C16" s="21">
        <v>128.05000000000001</v>
      </c>
      <c r="F16" s="31"/>
      <c r="G16" s="31"/>
      <c r="H16" s="31"/>
    </row>
    <row r="17" spans="1:9" s="24" customFormat="1" x14ac:dyDescent="0.2">
      <c r="A17" s="20" t="s">
        <v>442</v>
      </c>
      <c r="B17" s="20" t="s">
        <v>441</v>
      </c>
      <c r="C17" s="21">
        <v>68</v>
      </c>
      <c r="D17" s="26"/>
      <c r="F17" s="31"/>
      <c r="G17" s="31"/>
      <c r="H17" s="31"/>
      <c r="I17" s="26"/>
    </row>
    <row r="18" spans="1:9" s="24" customFormat="1" x14ac:dyDescent="0.2">
      <c r="A18" s="20" t="s">
        <v>301</v>
      </c>
      <c r="B18" s="20" t="s">
        <v>391</v>
      </c>
      <c r="C18" s="55">
        <v>95</v>
      </c>
      <c r="D18" s="26"/>
      <c r="F18" s="31"/>
      <c r="G18" s="31"/>
      <c r="H18" s="31"/>
      <c r="I18" s="26"/>
    </row>
    <row r="19" spans="1:9" s="24" customFormat="1" x14ac:dyDescent="0.2">
      <c r="A19" s="20" t="s">
        <v>470</v>
      </c>
      <c r="B19" s="20" t="s">
        <v>400</v>
      </c>
      <c r="C19" s="21">
        <v>171.55</v>
      </c>
      <c r="D19" s="26"/>
      <c r="F19" s="31"/>
      <c r="G19" s="31"/>
      <c r="H19" s="31"/>
      <c r="I19" s="26"/>
    </row>
    <row r="20" spans="1:9" s="24" customFormat="1" x14ac:dyDescent="0.2">
      <c r="A20" s="29"/>
      <c r="B20" s="29"/>
      <c r="C20" s="30"/>
      <c r="D20" s="26"/>
      <c r="F20" s="31"/>
      <c r="G20" s="31"/>
      <c r="H20" s="31"/>
      <c r="I20" s="26"/>
    </row>
    <row r="21" spans="1:9" s="24" customFormat="1" x14ac:dyDescent="0.2">
      <c r="A21" s="32" t="s">
        <v>13</v>
      </c>
      <c r="B21" s="25"/>
      <c r="C21" s="27"/>
      <c r="D21" s="26"/>
      <c r="F21" s="31"/>
      <c r="G21" s="31"/>
      <c r="H21" s="31"/>
      <c r="I21" s="26"/>
    </row>
    <row r="22" spans="1:9" s="24" customFormat="1" x14ac:dyDescent="0.2">
      <c r="A22" s="20" t="s">
        <v>348</v>
      </c>
      <c r="B22" s="20" t="s">
        <v>396</v>
      </c>
      <c r="C22" s="21">
        <v>120</v>
      </c>
      <c r="D22" s="26"/>
      <c r="F22" s="31"/>
      <c r="G22" s="31"/>
      <c r="H22" s="31"/>
      <c r="I22" s="26"/>
    </row>
    <row r="23" spans="1:9" s="24" customFormat="1" x14ac:dyDescent="0.2">
      <c r="A23" s="20" t="s">
        <v>451</v>
      </c>
      <c r="B23" s="20" t="s">
        <v>452</v>
      </c>
      <c r="C23" s="21">
        <v>50</v>
      </c>
      <c r="D23" s="26"/>
      <c r="F23" s="31"/>
      <c r="G23" s="31"/>
      <c r="H23" s="31"/>
      <c r="I23" s="26"/>
    </row>
    <row r="24" spans="1:9" s="24" customFormat="1" x14ac:dyDescent="0.2">
      <c r="A24" s="20" t="s">
        <v>267</v>
      </c>
      <c r="B24" s="20" t="s">
        <v>404</v>
      </c>
      <c r="C24" s="55">
        <v>32</v>
      </c>
      <c r="D24" s="26"/>
      <c r="F24" s="31"/>
      <c r="G24" s="31"/>
      <c r="H24" s="31"/>
      <c r="I24" s="26"/>
    </row>
    <row r="25" spans="1:9" s="24" customFormat="1" x14ac:dyDescent="0.2">
      <c r="A25" s="20" t="s">
        <v>438</v>
      </c>
      <c r="B25" s="20" t="s">
        <v>405</v>
      </c>
      <c r="C25" s="21">
        <v>66.5</v>
      </c>
      <c r="D25" s="26"/>
      <c r="F25" s="31"/>
      <c r="G25" s="31"/>
      <c r="H25" s="31"/>
      <c r="I25" s="26"/>
    </row>
    <row r="26" spans="1:9" s="24" customFormat="1" x14ac:dyDescent="0.2">
      <c r="A26" s="20" t="s">
        <v>79</v>
      </c>
      <c r="B26" s="20" t="s">
        <v>390</v>
      </c>
      <c r="C26" s="21">
        <v>174.48</v>
      </c>
      <c r="D26" s="26"/>
      <c r="F26" s="31"/>
      <c r="G26" s="31"/>
      <c r="H26" s="31"/>
      <c r="I26" s="26"/>
    </row>
    <row r="27" spans="1:9" s="24" customFormat="1" x14ac:dyDescent="0.2">
      <c r="A27" s="20" t="s">
        <v>378</v>
      </c>
      <c r="B27" s="20" t="s">
        <v>393</v>
      </c>
      <c r="C27" s="21">
        <v>216.5</v>
      </c>
      <c r="D27" s="26"/>
      <c r="F27" s="31"/>
      <c r="G27" s="31"/>
      <c r="H27" s="31"/>
      <c r="I27" s="26"/>
    </row>
    <row r="28" spans="1:9" s="24" customFormat="1" x14ac:dyDescent="0.2">
      <c r="A28" s="20" t="s">
        <v>493</v>
      </c>
      <c r="B28" s="20" t="s">
        <v>494</v>
      </c>
      <c r="C28" s="21">
        <v>542.02</v>
      </c>
      <c r="D28" s="26"/>
      <c r="F28" s="31"/>
      <c r="G28" s="31"/>
      <c r="H28" s="31"/>
      <c r="I28" s="26"/>
    </row>
    <row r="29" spans="1:9" s="24" customFormat="1" x14ac:dyDescent="0.2">
      <c r="A29" s="20" t="s">
        <v>302</v>
      </c>
      <c r="B29" s="20" t="s">
        <v>388</v>
      </c>
      <c r="C29" s="21">
        <v>197</v>
      </c>
      <c r="D29" s="26"/>
      <c r="F29" s="31"/>
      <c r="G29" s="31"/>
      <c r="H29" s="31"/>
      <c r="I29" s="26"/>
    </row>
    <row r="30" spans="1:9" s="24" customFormat="1" x14ac:dyDescent="0.2">
      <c r="A30" s="20" t="s">
        <v>60</v>
      </c>
      <c r="B30" s="20" t="s">
        <v>395</v>
      </c>
      <c r="C30" s="21">
        <v>197.29</v>
      </c>
      <c r="D30" s="26"/>
      <c r="F30" s="31"/>
      <c r="G30" s="31"/>
      <c r="H30" s="31"/>
      <c r="I30" s="26"/>
    </row>
    <row r="31" spans="1:9" s="24" customFormat="1" x14ac:dyDescent="0.2">
      <c r="A31" s="20" t="s">
        <v>316</v>
      </c>
      <c r="B31" s="20" t="s">
        <v>392</v>
      </c>
      <c r="C31" s="21">
        <v>573</v>
      </c>
      <c r="D31" s="26"/>
      <c r="F31" s="26"/>
      <c r="G31" s="26"/>
      <c r="H31" s="26"/>
      <c r="I31" s="26"/>
    </row>
    <row r="32" spans="1:9" s="24" customFormat="1" x14ac:dyDescent="0.2">
      <c r="A32" s="20" t="s">
        <v>349</v>
      </c>
      <c r="B32" s="20" t="s">
        <v>396</v>
      </c>
      <c r="C32" s="21">
        <v>120</v>
      </c>
      <c r="D32" s="26"/>
      <c r="F32" s="68" t="s">
        <v>330</v>
      </c>
      <c r="G32" s="26"/>
      <c r="H32" s="26"/>
      <c r="I32" s="26"/>
    </row>
    <row r="33" spans="1:9" s="26" customFormat="1" x14ac:dyDescent="0.2">
      <c r="A33" s="14"/>
      <c r="B33" s="14"/>
      <c r="C33" s="14"/>
      <c r="F33" s="25">
        <f>(H8+H11)/2</f>
        <v>1301.1199999999997</v>
      </c>
    </row>
    <row r="34" spans="1:9" s="26" customFormat="1" x14ac:dyDescent="0.2">
      <c r="A34"/>
      <c r="B34"/>
      <c r="C34"/>
    </row>
    <row r="35" spans="1:9" s="24" customFormat="1" x14ac:dyDescent="0.2">
      <c r="A35" s="26"/>
      <c r="B35" s="26"/>
      <c r="C35"/>
      <c r="D35" s="26"/>
      <c r="H35" s="71"/>
    </row>
    <row r="36" spans="1:9" s="24" customFormat="1" x14ac:dyDescent="0.2">
      <c r="A36"/>
      <c r="B36"/>
      <c r="C36" s="26"/>
      <c r="D36" s="26"/>
      <c r="H36" s="71"/>
    </row>
    <row r="37" spans="1:9" s="26" customFormat="1" x14ac:dyDescent="0.2">
      <c r="A37" s="24"/>
      <c r="B37"/>
    </row>
    <row r="38" spans="1:9" s="26" customFormat="1" x14ac:dyDescent="0.2">
      <c r="A38" s="25" t="s">
        <v>464</v>
      </c>
      <c r="B38" s="25"/>
      <c r="F38"/>
    </row>
    <row r="39" spans="1:9" s="26" customFormat="1" x14ac:dyDescent="0.2">
      <c r="A39" s="4" t="s">
        <v>265</v>
      </c>
      <c r="B39" s="4" t="s">
        <v>473</v>
      </c>
      <c r="I39" s="24"/>
    </row>
    <row r="40" spans="1:9" s="26" customFormat="1" x14ac:dyDescent="0.2">
      <c r="A40" s="20"/>
      <c r="B40" s="4" t="s">
        <v>465</v>
      </c>
      <c r="C40"/>
      <c r="H40" s="24"/>
      <c r="I40" s="24"/>
    </row>
    <row r="41" spans="1:9" s="24" customFormat="1" x14ac:dyDescent="0.2">
      <c r="A41" s="20"/>
      <c r="B41" s="4" t="s">
        <v>466</v>
      </c>
      <c r="C41"/>
      <c r="D41" s="26"/>
      <c r="F41" s="26"/>
      <c r="G41" s="26"/>
    </row>
    <row r="42" spans="1:9" s="26" customFormat="1" x14ac:dyDescent="0.2">
      <c r="A42" s="20"/>
      <c r="B42" s="4" t="s">
        <v>484</v>
      </c>
      <c r="C42"/>
    </row>
    <row r="43" spans="1:9" s="26" customFormat="1" x14ac:dyDescent="0.2">
      <c r="A43" s="20"/>
      <c r="B43" s="4" t="s">
        <v>469</v>
      </c>
      <c r="C43"/>
    </row>
    <row r="44" spans="1:9" s="26" customFormat="1" x14ac:dyDescent="0.2">
      <c r="A44" s="20"/>
      <c r="B44" s="4"/>
      <c r="C44"/>
    </row>
    <row r="45" spans="1:9" s="24" customFormat="1" x14ac:dyDescent="0.2">
      <c r="A45" s="20"/>
      <c r="B45" s="4" t="s">
        <v>472</v>
      </c>
      <c r="C45"/>
      <c r="D45" s="26"/>
      <c r="F45" s="26"/>
      <c r="G45" s="26"/>
      <c r="I45"/>
    </row>
    <row r="46" spans="1:9" s="24" customFormat="1" x14ac:dyDescent="0.2">
      <c r="A46" s="20"/>
      <c r="B46" s="25" t="s">
        <v>467</v>
      </c>
      <c r="C46"/>
      <c r="D46" s="26"/>
      <c r="F46" s="26"/>
      <c r="I46"/>
    </row>
    <row r="47" spans="1:9" s="24" customFormat="1" x14ac:dyDescent="0.2">
      <c r="A47" s="20"/>
      <c r="B47" s="25" t="s">
        <v>476</v>
      </c>
      <c r="C47"/>
      <c r="D47" s="26"/>
      <c r="F47" s="26"/>
      <c r="G47" s="26"/>
      <c r="I47" s="26"/>
    </row>
    <row r="48" spans="1:9" s="26" customFormat="1" x14ac:dyDescent="0.2">
      <c r="A48" s="20"/>
      <c r="B48" s="25" t="s">
        <v>485</v>
      </c>
      <c r="C48"/>
    </row>
    <row r="49" spans="1:9" s="26" customFormat="1" x14ac:dyDescent="0.2">
      <c r="A49" s="20"/>
      <c r="B49" s="25" t="s">
        <v>468</v>
      </c>
      <c r="C49"/>
      <c r="I49"/>
    </row>
    <row r="50" spans="1:9" x14ac:dyDescent="0.2">
      <c r="A50" s="26"/>
      <c r="B50" s="26"/>
      <c r="F50" s="26"/>
      <c r="G50" s="26"/>
    </row>
    <row r="51" spans="1:9" x14ac:dyDescent="0.2">
      <c r="A51" s="26"/>
      <c r="B51" s="26"/>
      <c r="F51" s="26"/>
      <c r="G51" s="26"/>
    </row>
    <row r="52" spans="1:9" s="26" customFormat="1" x14ac:dyDescent="0.2">
      <c r="C52"/>
      <c r="I52"/>
    </row>
    <row r="53" spans="1:9" s="26" customFormat="1" x14ac:dyDescent="0.2">
      <c r="A53" s="25" t="s">
        <v>495</v>
      </c>
      <c r="B53" s="25"/>
      <c r="C53"/>
      <c r="F53"/>
      <c r="I53"/>
    </row>
    <row r="54" spans="1:9" x14ac:dyDescent="0.2">
      <c r="A54" s="25"/>
      <c r="B54" s="25" t="s">
        <v>496</v>
      </c>
      <c r="G54" s="26"/>
    </row>
    <row r="55" spans="1:9" x14ac:dyDescent="0.2">
      <c r="A55" s="25"/>
      <c r="B55" s="25" t="s">
        <v>497</v>
      </c>
      <c r="F55" s="26"/>
    </row>
    <row r="56" spans="1:9" x14ac:dyDescent="0.2">
      <c r="A56" s="25"/>
      <c r="B56" s="25" t="s">
        <v>502</v>
      </c>
      <c r="F56" s="26"/>
    </row>
    <row r="57" spans="1:9" x14ac:dyDescent="0.2">
      <c r="A57" s="25"/>
      <c r="B57" s="25" t="s">
        <v>503</v>
      </c>
    </row>
    <row r="58" spans="1:9" x14ac:dyDescent="0.2">
      <c r="A58" s="25"/>
      <c r="B58" s="25" t="s">
        <v>504</v>
      </c>
    </row>
    <row r="59" spans="1:9" x14ac:dyDescent="0.2">
      <c r="A59" s="25"/>
      <c r="B59" s="25"/>
    </row>
    <row r="60" spans="1:9" x14ac:dyDescent="0.2">
      <c r="A60" s="25"/>
      <c r="B60" s="25" t="s">
        <v>498</v>
      </c>
    </row>
    <row r="61" spans="1:9" x14ac:dyDescent="0.2">
      <c r="A61" s="25"/>
      <c r="B61" s="25" t="s">
        <v>499</v>
      </c>
    </row>
    <row r="62" spans="1:9" x14ac:dyDescent="0.2">
      <c r="A62" s="25"/>
      <c r="B62" s="25" t="s">
        <v>505</v>
      </c>
    </row>
    <row r="63" spans="1:9" x14ac:dyDescent="0.2">
      <c r="A63" s="25"/>
      <c r="B63" s="25" t="s">
        <v>506</v>
      </c>
    </row>
    <row r="64" spans="1:9" x14ac:dyDescent="0.2">
      <c r="A64" s="25"/>
      <c r="B64" s="25" t="s">
        <v>509</v>
      </c>
    </row>
    <row r="65" spans="1:2" x14ac:dyDescent="0.2">
      <c r="A65" s="25"/>
      <c r="B65" s="25"/>
    </row>
    <row r="66" spans="1:2" x14ac:dyDescent="0.2">
      <c r="A66" s="25"/>
      <c r="B66" s="25" t="s">
        <v>500</v>
      </c>
    </row>
    <row r="67" spans="1:2" x14ac:dyDescent="0.2">
      <c r="A67" s="25"/>
      <c r="B67" s="25" t="s">
        <v>501</v>
      </c>
    </row>
    <row r="68" spans="1:2" x14ac:dyDescent="0.2">
      <c r="A68" s="25"/>
      <c r="B68" s="25" t="s">
        <v>507</v>
      </c>
    </row>
    <row r="69" spans="1:2" x14ac:dyDescent="0.2">
      <c r="A69" s="25"/>
      <c r="B69" s="25" t="s">
        <v>508</v>
      </c>
    </row>
    <row r="70" spans="1:2" x14ac:dyDescent="0.2">
      <c r="A70" s="25"/>
      <c r="B70" s="25" t="s">
        <v>510</v>
      </c>
    </row>
    <row r="71" spans="1:2" x14ac:dyDescent="0.2">
      <c r="A71" s="26"/>
      <c r="B71" s="26"/>
    </row>
    <row r="72" spans="1:2" x14ac:dyDescent="0.2">
      <c r="A72" s="26"/>
      <c r="B72" s="26"/>
    </row>
    <row r="73" spans="1:2" x14ac:dyDescent="0.2">
      <c r="A73" s="26"/>
      <c r="B73" s="26"/>
    </row>
  </sheetData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73"/>
  <sheetViews>
    <sheetView workbookViewId="0">
      <selection activeCell="A28" sqref="A28:C28"/>
    </sheetView>
  </sheetViews>
  <sheetFormatPr baseColWidth="10" defaultColWidth="8.83203125" defaultRowHeight="15" x14ac:dyDescent="0.2"/>
  <cols>
    <col min="1" max="1" width="44.5" bestFit="1" customWidth="1"/>
    <col min="2" max="2" width="66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512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2440.5</v>
      </c>
      <c r="C3" s="51">
        <v>2440.5</v>
      </c>
      <c r="H3" s="26"/>
    </row>
    <row r="4" spans="1:11" x14ac:dyDescent="0.2">
      <c r="A4" s="26" t="s">
        <v>265</v>
      </c>
      <c r="B4">
        <v>1223.79</v>
      </c>
      <c r="C4">
        <v>1223.79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3664.29</v>
      </c>
      <c r="G8" s="27">
        <f>C9+C10+C11+C12+C13+C14+C15+C16+C17+C18+C19</f>
        <v>2266.79</v>
      </c>
      <c r="H8" s="27">
        <f>F8-G8</f>
        <v>1397.5</v>
      </c>
    </row>
    <row r="9" spans="1:11" s="24" customFormat="1" x14ac:dyDescent="0.2">
      <c r="A9" s="25" t="s">
        <v>351</v>
      </c>
      <c r="B9" s="25" t="s">
        <v>396</v>
      </c>
      <c r="C9" s="27"/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1590.3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311</v>
      </c>
      <c r="B11" s="20" t="s">
        <v>394</v>
      </c>
      <c r="C11" s="21">
        <v>74.900000000000006</v>
      </c>
      <c r="D11" s="26"/>
      <c r="F11" s="33">
        <f>B3+B4</f>
        <v>3664.29</v>
      </c>
      <c r="G11" s="27">
        <f>C22+C23+C24+C25+C26+C27+C28+C29+C30+C31+C32</f>
        <v>2049.79</v>
      </c>
      <c r="H11" s="27">
        <f>F11-G11</f>
        <v>1614.5</v>
      </c>
      <c r="I11" s="26"/>
    </row>
    <row r="12" spans="1:11" s="24" customFormat="1" x14ac:dyDescent="0.2">
      <c r="A12" s="20" t="s">
        <v>454</v>
      </c>
      <c r="B12" s="20" t="s">
        <v>403</v>
      </c>
      <c r="C12" s="21">
        <v>99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76</v>
      </c>
      <c r="B13" s="20" t="s">
        <v>402</v>
      </c>
      <c r="C13" s="21">
        <v>14.99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453</v>
      </c>
      <c r="B14" s="20" t="s">
        <v>398</v>
      </c>
      <c r="C14" s="21">
        <v>25</v>
      </c>
      <c r="D14" s="26"/>
      <c r="F14" s="31"/>
      <c r="G14" s="31"/>
      <c r="H14" s="31"/>
    </row>
    <row r="15" spans="1:11" s="24" customFormat="1" x14ac:dyDescent="0.2">
      <c r="A15" s="20" t="s">
        <v>350</v>
      </c>
      <c r="B15" s="20" t="s">
        <v>396</v>
      </c>
      <c r="C15" s="21"/>
      <c r="D15" s="26"/>
      <c r="F15" s="31"/>
      <c r="G15" s="31"/>
      <c r="H15" s="31"/>
    </row>
    <row r="16" spans="1:11" s="24" customFormat="1" x14ac:dyDescent="0.2">
      <c r="A16" s="20" t="s">
        <v>471</v>
      </c>
      <c r="B16" s="20" t="s">
        <v>401</v>
      </c>
      <c r="C16" s="21">
        <v>128.05000000000001</v>
      </c>
      <c r="F16" s="31"/>
      <c r="G16" s="31"/>
      <c r="H16" s="31"/>
    </row>
    <row r="17" spans="1:9" s="24" customFormat="1" x14ac:dyDescent="0.2">
      <c r="A17" s="20" t="s">
        <v>442</v>
      </c>
      <c r="B17" s="20" t="s">
        <v>441</v>
      </c>
      <c r="C17" s="21">
        <v>68</v>
      </c>
      <c r="D17" s="26"/>
      <c r="F17" s="31"/>
      <c r="G17" s="31"/>
      <c r="H17" s="31"/>
      <c r="I17" s="26"/>
    </row>
    <row r="18" spans="1:9" s="24" customFormat="1" x14ac:dyDescent="0.2">
      <c r="A18" s="20" t="s">
        <v>301</v>
      </c>
      <c r="B18" s="20" t="s">
        <v>391</v>
      </c>
      <c r="C18" s="55">
        <v>95</v>
      </c>
      <c r="D18" s="26"/>
      <c r="F18" s="31"/>
      <c r="G18" s="31"/>
      <c r="H18" s="31"/>
      <c r="I18" s="26"/>
    </row>
    <row r="19" spans="1:9" s="24" customFormat="1" x14ac:dyDescent="0.2">
      <c r="A19" s="20" t="s">
        <v>470</v>
      </c>
      <c r="B19" s="20" t="s">
        <v>400</v>
      </c>
      <c r="C19" s="21">
        <v>171.55</v>
      </c>
      <c r="D19" s="26"/>
      <c r="F19" s="31"/>
      <c r="G19" s="31"/>
      <c r="H19" s="31"/>
      <c r="I19" s="26"/>
    </row>
    <row r="20" spans="1:9" s="24" customFormat="1" x14ac:dyDescent="0.2">
      <c r="A20" s="29"/>
      <c r="B20" s="29"/>
      <c r="C20" s="30"/>
      <c r="D20" s="26"/>
      <c r="F20" s="31"/>
      <c r="G20" s="31"/>
      <c r="H20" s="31"/>
      <c r="I20" s="26"/>
    </row>
    <row r="21" spans="1:9" s="24" customFormat="1" x14ac:dyDescent="0.2">
      <c r="A21" s="32" t="s">
        <v>13</v>
      </c>
      <c r="B21" s="25"/>
      <c r="C21" s="27"/>
      <c r="D21" s="26"/>
      <c r="F21" s="31"/>
      <c r="G21" s="31"/>
      <c r="H21" s="31"/>
      <c r="I21" s="26"/>
    </row>
    <row r="22" spans="1:9" s="24" customFormat="1" x14ac:dyDescent="0.2">
      <c r="A22" s="25" t="s">
        <v>348</v>
      </c>
      <c r="B22" s="25" t="s">
        <v>396</v>
      </c>
      <c r="C22" s="27"/>
      <c r="D22" s="26"/>
      <c r="F22" s="31"/>
      <c r="G22" s="31"/>
      <c r="H22" s="31"/>
      <c r="I22" s="26"/>
    </row>
    <row r="23" spans="1:9" s="24" customFormat="1" x14ac:dyDescent="0.2">
      <c r="A23" s="20" t="s">
        <v>451</v>
      </c>
      <c r="B23" s="20" t="s">
        <v>452</v>
      </c>
      <c r="C23" s="21">
        <v>50</v>
      </c>
      <c r="D23" s="26"/>
      <c r="F23" s="31"/>
      <c r="G23" s="31"/>
      <c r="H23" s="31"/>
      <c r="I23" s="26"/>
    </row>
    <row r="24" spans="1:9" s="24" customFormat="1" x14ac:dyDescent="0.2">
      <c r="A24" s="20" t="s">
        <v>267</v>
      </c>
      <c r="B24" s="20" t="s">
        <v>404</v>
      </c>
      <c r="C24" s="55">
        <v>32</v>
      </c>
      <c r="D24" s="26"/>
      <c r="F24" s="31"/>
      <c r="G24" s="31"/>
      <c r="H24" s="31"/>
      <c r="I24" s="26"/>
    </row>
    <row r="25" spans="1:9" s="24" customFormat="1" x14ac:dyDescent="0.2">
      <c r="A25" s="20" t="s">
        <v>438</v>
      </c>
      <c r="B25" s="20" t="s">
        <v>405</v>
      </c>
      <c r="C25" s="21">
        <v>66.5</v>
      </c>
      <c r="D25" s="26"/>
      <c r="F25" s="31"/>
      <c r="G25" s="31"/>
      <c r="H25" s="31"/>
      <c r="I25" s="26"/>
    </row>
    <row r="26" spans="1:9" s="24" customFormat="1" x14ac:dyDescent="0.2">
      <c r="A26" s="20" t="s">
        <v>79</v>
      </c>
      <c r="B26" s="20" t="s">
        <v>390</v>
      </c>
      <c r="C26" s="21">
        <v>174.48</v>
      </c>
      <c r="D26" s="26"/>
      <c r="F26" s="31"/>
      <c r="G26" s="31"/>
      <c r="H26" s="31"/>
      <c r="I26" s="26"/>
    </row>
    <row r="27" spans="1:9" s="24" customFormat="1" x14ac:dyDescent="0.2">
      <c r="A27" s="20" t="s">
        <v>378</v>
      </c>
      <c r="B27" s="20" t="s">
        <v>393</v>
      </c>
      <c r="C27" s="21">
        <v>216.5</v>
      </c>
      <c r="D27" s="26"/>
      <c r="F27" s="31"/>
      <c r="G27" s="31"/>
      <c r="H27" s="31"/>
      <c r="I27" s="26"/>
    </row>
    <row r="28" spans="1:9" s="24" customFormat="1" x14ac:dyDescent="0.2">
      <c r="A28" s="20" t="s">
        <v>493</v>
      </c>
      <c r="B28" s="20" t="s">
        <v>494</v>
      </c>
      <c r="C28" s="21">
        <v>542.02</v>
      </c>
      <c r="D28" s="26"/>
      <c r="F28" s="31"/>
      <c r="G28" s="31"/>
      <c r="H28" s="31"/>
      <c r="I28" s="26"/>
    </row>
    <row r="29" spans="1:9" s="24" customFormat="1" x14ac:dyDescent="0.2">
      <c r="A29" s="20" t="s">
        <v>302</v>
      </c>
      <c r="B29" s="20" t="s">
        <v>388</v>
      </c>
      <c r="C29" s="21">
        <v>198</v>
      </c>
      <c r="D29" s="26"/>
      <c r="F29" s="31"/>
      <c r="G29" s="31"/>
      <c r="H29" s="31"/>
      <c r="I29" s="26"/>
    </row>
    <row r="30" spans="1:9" s="24" customFormat="1" x14ac:dyDescent="0.2">
      <c r="A30" s="20" t="s">
        <v>60</v>
      </c>
      <c r="B30" s="20" t="s">
        <v>395</v>
      </c>
      <c r="C30" s="21">
        <v>197.29</v>
      </c>
      <c r="D30" s="26"/>
      <c r="F30" s="31"/>
      <c r="G30" s="31"/>
      <c r="H30" s="31"/>
      <c r="I30" s="26"/>
    </row>
    <row r="31" spans="1:9" s="24" customFormat="1" x14ac:dyDescent="0.2">
      <c r="A31" s="20" t="s">
        <v>316</v>
      </c>
      <c r="B31" s="20" t="s">
        <v>392</v>
      </c>
      <c r="C31" s="21">
        <v>573</v>
      </c>
      <c r="D31" s="26"/>
      <c r="F31" s="26"/>
      <c r="G31" s="26"/>
      <c r="H31" s="26"/>
      <c r="I31" s="26"/>
    </row>
    <row r="32" spans="1:9" s="24" customFormat="1" x14ac:dyDescent="0.2">
      <c r="A32" s="25" t="s">
        <v>349</v>
      </c>
      <c r="B32" s="25" t="s">
        <v>396</v>
      </c>
      <c r="C32" s="27"/>
      <c r="D32" s="26"/>
      <c r="F32" s="68" t="s">
        <v>330</v>
      </c>
      <c r="G32" s="26"/>
      <c r="H32" s="26"/>
      <c r="I32" s="26"/>
    </row>
    <row r="33" spans="1:9" s="26" customFormat="1" x14ac:dyDescent="0.2">
      <c r="A33" s="14"/>
      <c r="B33" s="14"/>
      <c r="C33" s="14"/>
      <c r="F33" s="25">
        <f>(H8+H11)/2</f>
        <v>1506</v>
      </c>
    </row>
    <row r="34" spans="1:9" s="26" customFormat="1" x14ac:dyDescent="0.2">
      <c r="A34"/>
      <c r="B34"/>
      <c r="C34"/>
    </row>
    <row r="35" spans="1:9" s="24" customFormat="1" x14ac:dyDescent="0.2">
      <c r="A35" s="26"/>
      <c r="B35" s="26"/>
      <c r="C35"/>
      <c r="D35" s="26"/>
      <c r="H35" s="71"/>
    </row>
    <row r="36" spans="1:9" s="24" customFormat="1" x14ac:dyDescent="0.2">
      <c r="A36"/>
      <c r="B36"/>
      <c r="C36" s="26"/>
      <c r="D36" s="26"/>
      <c r="H36" s="71"/>
    </row>
    <row r="37" spans="1:9" s="26" customFormat="1" x14ac:dyDescent="0.2">
      <c r="A37" s="24"/>
      <c r="B37"/>
    </row>
    <row r="38" spans="1:9" s="26" customFormat="1" x14ac:dyDescent="0.2">
      <c r="A38" s="25" t="s">
        <v>464</v>
      </c>
      <c r="B38" s="25"/>
      <c r="F38"/>
    </row>
    <row r="39" spans="1:9" s="26" customFormat="1" x14ac:dyDescent="0.2">
      <c r="A39" s="4" t="s">
        <v>265</v>
      </c>
      <c r="B39" s="4" t="s">
        <v>473</v>
      </c>
      <c r="I39" s="24"/>
    </row>
    <row r="40" spans="1:9" s="26" customFormat="1" x14ac:dyDescent="0.2">
      <c r="A40" s="20"/>
      <c r="B40" s="4" t="s">
        <v>465</v>
      </c>
      <c r="C40"/>
      <c r="H40" s="24"/>
      <c r="I40" s="24"/>
    </row>
    <row r="41" spans="1:9" s="24" customFormat="1" x14ac:dyDescent="0.2">
      <c r="A41" s="20"/>
      <c r="B41" s="4" t="s">
        <v>466</v>
      </c>
      <c r="C41"/>
      <c r="D41" s="26"/>
      <c r="F41" s="26"/>
      <c r="G41" s="26"/>
    </row>
    <row r="42" spans="1:9" s="26" customFormat="1" x14ac:dyDescent="0.2">
      <c r="A42" s="20"/>
      <c r="B42" s="4" t="s">
        <v>484</v>
      </c>
      <c r="C42"/>
    </row>
    <row r="43" spans="1:9" s="26" customFormat="1" x14ac:dyDescent="0.2">
      <c r="A43" s="20"/>
      <c r="B43" s="4" t="s">
        <v>469</v>
      </c>
      <c r="C43"/>
    </row>
    <row r="44" spans="1:9" s="26" customFormat="1" x14ac:dyDescent="0.2">
      <c r="A44" s="20"/>
      <c r="B44" s="4"/>
      <c r="C44"/>
    </row>
    <row r="45" spans="1:9" s="24" customFormat="1" x14ac:dyDescent="0.2">
      <c r="A45" s="20"/>
      <c r="B45" s="4" t="s">
        <v>472</v>
      </c>
      <c r="C45"/>
      <c r="D45" s="26"/>
      <c r="F45" s="26"/>
      <c r="G45" s="26"/>
      <c r="I45"/>
    </row>
    <row r="46" spans="1:9" s="24" customFormat="1" x14ac:dyDescent="0.2">
      <c r="A46" s="20"/>
      <c r="B46" s="25" t="s">
        <v>467</v>
      </c>
      <c r="C46"/>
      <c r="D46" s="26"/>
      <c r="F46" s="26"/>
      <c r="I46"/>
    </row>
    <row r="47" spans="1:9" s="24" customFormat="1" x14ac:dyDescent="0.2">
      <c r="A47" s="20"/>
      <c r="B47" s="25" t="s">
        <v>476</v>
      </c>
      <c r="C47"/>
      <c r="D47" s="26"/>
      <c r="F47" s="26"/>
      <c r="G47" s="26"/>
      <c r="I47" s="26"/>
    </row>
    <row r="48" spans="1:9" s="26" customFormat="1" x14ac:dyDescent="0.2">
      <c r="A48" s="20"/>
      <c r="B48" s="25" t="s">
        <v>485</v>
      </c>
      <c r="C48"/>
    </row>
    <row r="49" spans="1:9" s="26" customFormat="1" x14ac:dyDescent="0.2">
      <c r="A49" s="20"/>
      <c r="B49" s="25" t="s">
        <v>468</v>
      </c>
      <c r="C49"/>
      <c r="I49"/>
    </row>
    <row r="50" spans="1:9" x14ac:dyDescent="0.2">
      <c r="A50" s="26"/>
      <c r="B50" s="26"/>
      <c r="F50" s="26"/>
      <c r="G50" s="26"/>
    </row>
    <row r="51" spans="1:9" x14ac:dyDescent="0.2">
      <c r="A51" s="26"/>
      <c r="B51" s="26"/>
      <c r="F51" s="26"/>
      <c r="G51" s="26"/>
    </row>
    <row r="52" spans="1:9" s="26" customFormat="1" x14ac:dyDescent="0.2">
      <c r="C52"/>
      <c r="I52"/>
    </row>
    <row r="53" spans="1:9" s="26" customFormat="1" x14ac:dyDescent="0.2">
      <c r="A53" s="25" t="s">
        <v>495</v>
      </c>
      <c r="B53" s="25"/>
      <c r="C53"/>
      <c r="F53"/>
      <c r="I53"/>
    </row>
    <row r="54" spans="1:9" x14ac:dyDescent="0.2">
      <c r="A54" s="25"/>
      <c r="B54" s="25" t="s">
        <v>496</v>
      </c>
      <c r="G54" s="26"/>
    </row>
    <row r="55" spans="1:9" x14ac:dyDescent="0.2">
      <c r="A55" s="25"/>
      <c r="B55" s="25" t="s">
        <v>497</v>
      </c>
      <c r="F55" s="26"/>
    </row>
    <row r="56" spans="1:9" x14ac:dyDescent="0.2">
      <c r="A56" s="25"/>
      <c r="B56" s="25" t="s">
        <v>502</v>
      </c>
      <c r="F56" s="26"/>
    </row>
    <row r="57" spans="1:9" x14ac:dyDescent="0.2">
      <c r="A57" s="25"/>
      <c r="B57" s="25" t="s">
        <v>503</v>
      </c>
    </row>
    <row r="58" spans="1:9" x14ac:dyDescent="0.2">
      <c r="A58" s="25"/>
      <c r="B58" s="25" t="s">
        <v>504</v>
      </c>
    </row>
    <row r="59" spans="1:9" x14ac:dyDescent="0.2">
      <c r="A59" s="25"/>
      <c r="B59" s="25"/>
    </row>
    <row r="60" spans="1:9" x14ac:dyDescent="0.2">
      <c r="A60" s="25"/>
      <c r="B60" s="25" t="s">
        <v>498</v>
      </c>
    </row>
    <row r="61" spans="1:9" x14ac:dyDescent="0.2">
      <c r="A61" s="25"/>
      <c r="B61" s="25" t="s">
        <v>499</v>
      </c>
    </row>
    <row r="62" spans="1:9" x14ac:dyDescent="0.2">
      <c r="A62" s="25"/>
      <c r="B62" s="25" t="s">
        <v>505</v>
      </c>
    </row>
    <row r="63" spans="1:9" x14ac:dyDescent="0.2">
      <c r="A63" s="25"/>
      <c r="B63" s="25" t="s">
        <v>506</v>
      </c>
    </row>
    <row r="64" spans="1:9" x14ac:dyDescent="0.2">
      <c r="A64" s="25"/>
      <c r="B64" s="25" t="s">
        <v>509</v>
      </c>
    </row>
    <row r="65" spans="1:2" x14ac:dyDescent="0.2">
      <c r="A65" s="25"/>
      <c r="B65" s="25"/>
    </row>
    <row r="66" spans="1:2" x14ac:dyDescent="0.2">
      <c r="A66" s="25"/>
      <c r="B66" s="25" t="s">
        <v>500</v>
      </c>
    </row>
    <row r="67" spans="1:2" x14ac:dyDescent="0.2">
      <c r="A67" s="25"/>
      <c r="B67" s="25" t="s">
        <v>501</v>
      </c>
    </row>
    <row r="68" spans="1:2" x14ac:dyDescent="0.2">
      <c r="A68" s="25"/>
      <c r="B68" s="25" t="s">
        <v>507</v>
      </c>
    </row>
    <row r="69" spans="1:2" x14ac:dyDescent="0.2">
      <c r="A69" s="25"/>
      <c r="B69" s="25" t="s">
        <v>508</v>
      </c>
    </row>
    <row r="70" spans="1:2" x14ac:dyDescent="0.2">
      <c r="A70" s="25"/>
      <c r="B70" s="25" t="s">
        <v>510</v>
      </c>
    </row>
    <row r="71" spans="1:2" x14ac:dyDescent="0.2">
      <c r="A71" s="26"/>
      <c r="B71" s="26"/>
    </row>
    <row r="72" spans="1:2" x14ac:dyDescent="0.2">
      <c r="A72" s="26"/>
      <c r="B72" s="26"/>
    </row>
    <row r="73" spans="1:2" x14ac:dyDescent="0.2">
      <c r="A73" s="26"/>
      <c r="B73" s="26"/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73"/>
  <sheetViews>
    <sheetView workbookViewId="0">
      <selection activeCell="C28" sqref="C28"/>
    </sheetView>
  </sheetViews>
  <sheetFormatPr baseColWidth="10" defaultColWidth="8.83203125" defaultRowHeight="15" x14ac:dyDescent="0.2"/>
  <cols>
    <col min="1" max="1" width="44.5" bestFit="1" customWidth="1"/>
    <col min="2" max="2" width="66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511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2440.5</v>
      </c>
      <c r="C3" s="51">
        <v>2440.5</v>
      </c>
      <c r="H3" s="26"/>
    </row>
    <row r="4" spans="1:11" x14ac:dyDescent="0.2">
      <c r="A4" s="26" t="s">
        <v>265</v>
      </c>
      <c r="B4">
        <v>1223.79</v>
      </c>
      <c r="C4">
        <v>1223.79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3664.29</v>
      </c>
      <c r="G8" s="27">
        <f>C9+C10+C11+C12+C13+C14+C15+C16+C17+C18+C19</f>
        <v>2266.79</v>
      </c>
      <c r="H8" s="27">
        <f>F8-G8</f>
        <v>1397.5</v>
      </c>
    </row>
    <row r="9" spans="1:11" s="24" customFormat="1" x14ac:dyDescent="0.2">
      <c r="A9" s="25" t="s">
        <v>351</v>
      </c>
      <c r="B9" s="25" t="s">
        <v>396</v>
      </c>
      <c r="C9" s="27"/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1590.3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311</v>
      </c>
      <c r="B11" s="20" t="s">
        <v>394</v>
      </c>
      <c r="C11" s="21">
        <v>74.900000000000006</v>
      </c>
      <c r="D11" s="26"/>
      <c r="F11" s="33">
        <f>B3+B4</f>
        <v>3664.29</v>
      </c>
      <c r="G11" s="27">
        <f>C22+C23+C24+C25+C26+C27+C28+C29+C30+C31+C32</f>
        <v>2058.79</v>
      </c>
      <c r="H11" s="27">
        <f>F11-G11</f>
        <v>1605.5</v>
      </c>
      <c r="I11" s="26"/>
    </row>
    <row r="12" spans="1:11" s="24" customFormat="1" x14ac:dyDescent="0.2">
      <c r="A12" s="20" t="s">
        <v>454</v>
      </c>
      <c r="B12" s="20" t="s">
        <v>403</v>
      </c>
      <c r="C12" s="21">
        <v>99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76</v>
      </c>
      <c r="B13" s="20" t="s">
        <v>402</v>
      </c>
      <c r="C13" s="21">
        <v>14.99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453</v>
      </c>
      <c r="B14" s="20" t="s">
        <v>398</v>
      </c>
      <c r="C14" s="21">
        <v>25</v>
      </c>
      <c r="D14" s="26"/>
      <c r="F14" s="31"/>
      <c r="G14" s="31"/>
      <c r="H14" s="31"/>
    </row>
    <row r="15" spans="1:11" s="24" customFormat="1" x14ac:dyDescent="0.2">
      <c r="A15" s="20" t="s">
        <v>350</v>
      </c>
      <c r="B15" s="20" t="s">
        <v>396</v>
      </c>
      <c r="C15" s="21"/>
      <c r="D15" s="26"/>
      <c r="F15" s="31"/>
      <c r="G15" s="31"/>
      <c r="H15" s="31"/>
    </row>
    <row r="16" spans="1:11" s="24" customFormat="1" x14ac:dyDescent="0.2">
      <c r="A16" s="20" t="s">
        <v>471</v>
      </c>
      <c r="B16" s="20" t="s">
        <v>401</v>
      </c>
      <c r="C16" s="21">
        <v>128.05000000000001</v>
      </c>
      <c r="F16" s="31"/>
      <c r="G16" s="31"/>
      <c r="H16" s="31"/>
    </row>
    <row r="17" spans="1:9" s="24" customFormat="1" x14ac:dyDescent="0.2">
      <c r="A17" s="20" t="s">
        <v>442</v>
      </c>
      <c r="B17" s="20" t="s">
        <v>441</v>
      </c>
      <c r="C17" s="21">
        <v>68</v>
      </c>
      <c r="D17" s="26"/>
      <c r="F17" s="31"/>
      <c r="G17" s="31"/>
      <c r="H17" s="31"/>
      <c r="I17" s="26"/>
    </row>
    <row r="18" spans="1:9" s="24" customFormat="1" x14ac:dyDescent="0.2">
      <c r="A18" s="20" t="s">
        <v>301</v>
      </c>
      <c r="B18" s="20" t="s">
        <v>391</v>
      </c>
      <c r="C18" s="55">
        <v>95</v>
      </c>
      <c r="D18" s="26"/>
      <c r="F18" s="31"/>
      <c r="G18" s="31"/>
      <c r="H18" s="31"/>
      <c r="I18" s="26"/>
    </row>
    <row r="19" spans="1:9" s="24" customFormat="1" x14ac:dyDescent="0.2">
      <c r="A19" s="20" t="s">
        <v>470</v>
      </c>
      <c r="B19" s="20" t="s">
        <v>400</v>
      </c>
      <c r="C19" s="21">
        <v>171.55</v>
      </c>
      <c r="D19" s="26"/>
      <c r="F19" s="31"/>
      <c r="G19" s="31"/>
      <c r="H19" s="31"/>
      <c r="I19" s="26"/>
    </row>
    <row r="20" spans="1:9" s="24" customFormat="1" x14ac:dyDescent="0.2">
      <c r="A20" s="29"/>
      <c r="B20" s="29"/>
      <c r="C20" s="30"/>
      <c r="D20" s="26"/>
      <c r="F20" s="31"/>
      <c r="G20" s="31"/>
      <c r="H20" s="31"/>
      <c r="I20" s="26"/>
    </row>
    <row r="21" spans="1:9" s="24" customFormat="1" x14ac:dyDescent="0.2">
      <c r="A21" s="32" t="s">
        <v>13</v>
      </c>
      <c r="B21" s="25"/>
      <c r="C21" s="27"/>
      <c r="D21" s="26"/>
      <c r="F21" s="31"/>
      <c r="G21" s="31"/>
      <c r="H21" s="31"/>
      <c r="I21" s="26"/>
    </row>
    <row r="22" spans="1:9" s="24" customFormat="1" x14ac:dyDescent="0.2">
      <c r="A22" s="25" t="s">
        <v>348</v>
      </c>
      <c r="B22" s="25" t="s">
        <v>396</v>
      </c>
      <c r="C22" s="27"/>
      <c r="D22" s="26"/>
      <c r="F22" s="31"/>
      <c r="G22" s="31"/>
      <c r="H22" s="31"/>
      <c r="I22" s="26"/>
    </row>
    <row r="23" spans="1:9" s="24" customFormat="1" x14ac:dyDescent="0.2">
      <c r="A23" s="20" t="s">
        <v>451</v>
      </c>
      <c r="B23" s="20" t="s">
        <v>452</v>
      </c>
      <c r="C23" s="21">
        <v>50</v>
      </c>
      <c r="D23" s="26"/>
      <c r="F23" s="31"/>
      <c r="G23" s="31"/>
      <c r="H23" s="31"/>
      <c r="I23" s="26"/>
    </row>
    <row r="24" spans="1:9" s="24" customFormat="1" x14ac:dyDescent="0.2">
      <c r="A24" s="20" t="s">
        <v>267</v>
      </c>
      <c r="B24" s="20" t="s">
        <v>404</v>
      </c>
      <c r="C24" s="55">
        <v>32</v>
      </c>
      <c r="D24" s="26"/>
      <c r="F24" s="31"/>
      <c r="G24" s="31"/>
      <c r="H24" s="31"/>
      <c r="I24" s="26"/>
    </row>
    <row r="25" spans="1:9" s="24" customFormat="1" x14ac:dyDescent="0.2">
      <c r="A25" s="20" t="s">
        <v>438</v>
      </c>
      <c r="B25" s="20" t="s">
        <v>405</v>
      </c>
      <c r="C25" s="21">
        <v>66.5</v>
      </c>
      <c r="D25" s="26"/>
      <c r="F25" s="31"/>
      <c r="G25" s="31"/>
      <c r="H25" s="31"/>
      <c r="I25" s="26"/>
    </row>
    <row r="26" spans="1:9" s="24" customFormat="1" x14ac:dyDescent="0.2">
      <c r="A26" s="20" t="s">
        <v>79</v>
      </c>
      <c r="B26" s="20" t="s">
        <v>390</v>
      </c>
      <c r="C26" s="21">
        <v>174.48</v>
      </c>
      <c r="D26" s="26"/>
      <c r="F26" s="31"/>
      <c r="G26" s="31"/>
      <c r="H26" s="31"/>
      <c r="I26" s="26"/>
    </row>
    <row r="27" spans="1:9" s="24" customFormat="1" x14ac:dyDescent="0.2">
      <c r="A27" s="20" t="s">
        <v>378</v>
      </c>
      <c r="B27" s="20" t="s">
        <v>393</v>
      </c>
      <c r="C27" s="21">
        <v>216.5</v>
      </c>
      <c r="D27" s="26"/>
      <c r="F27" s="31"/>
      <c r="G27" s="31"/>
      <c r="H27" s="31"/>
      <c r="I27" s="26"/>
    </row>
    <row r="28" spans="1:9" s="24" customFormat="1" x14ac:dyDescent="0.2">
      <c r="A28" s="20" t="s">
        <v>493</v>
      </c>
      <c r="B28" s="20" t="s">
        <v>494</v>
      </c>
      <c r="C28" s="21">
        <v>542.02</v>
      </c>
      <c r="D28" s="26"/>
      <c r="F28" s="31"/>
      <c r="G28" s="31"/>
      <c r="H28" s="31"/>
      <c r="I28" s="26"/>
    </row>
    <row r="29" spans="1:9" s="24" customFormat="1" x14ac:dyDescent="0.2">
      <c r="A29" s="20" t="s">
        <v>302</v>
      </c>
      <c r="B29" s="20" t="s">
        <v>388</v>
      </c>
      <c r="C29" s="21">
        <v>207</v>
      </c>
      <c r="D29" s="26"/>
      <c r="F29" s="31"/>
      <c r="G29" s="31"/>
      <c r="H29" s="31"/>
      <c r="I29" s="26"/>
    </row>
    <row r="30" spans="1:9" s="24" customFormat="1" x14ac:dyDescent="0.2">
      <c r="A30" s="20" t="s">
        <v>60</v>
      </c>
      <c r="B30" s="20" t="s">
        <v>395</v>
      </c>
      <c r="C30" s="21">
        <v>197.29</v>
      </c>
      <c r="D30" s="26"/>
      <c r="F30" s="31"/>
      <c r="G30" s="31"/>
      <c r="H30" s="31"/>
      <c r="I30" s="26"/>
    </row>
    <row r="31" spans="1:9" s="24" customFormat="1" x14ac:dyDescent="0.2">
      <c r="A31" s="20" t="s">
        <v>316</v>
      </c>
      <c r="B31" s="20" t="s">
        <v>392</v>
      </c>
      <c r="C31" s="21">
        <v>573</v>
      </c>
      <c r="D31" s="26"/>
      <c r="F31" s="26"/>
      <c r="G31" s="26"/>
      <c r="H31" s="26"/>
      <c r="I31" s="26"/>
    </row>
    <row r="32" spans="1:9" s="24" customFormat="1" x14ac:dyDescent="0.2">
      <c r="A32" s="25" t="s">
        <v>349</v>
      </c>
      <c r="B32" s="25" t="s">
        <v>396</v>
      </c>
      <c r="C32" s="27"/>
      <c r="D32" s="26"/>
      <c r="F32" s="68" t="s">
        <v>330</v>
      </c>
      <c r="G32" s="26"/>
      <c r="H32" s="26"/>
      <c r="I32" s="26"/>
    </row>
    <row r="33" spans="1:9" s="26" customFormat="1" x14ac:dyDescent="0.2">
      <c r="A33" s="14"/>
      <c r="B33" s="14"/>
      <c r="C33" s="14"/>
      <c r="F33" s="25">
        <f>(H8+H11)/2</f>
        <v>1501.5</v>
      </c>
    </row>
    <row r="34" spans="1:9" s="26" customFormat="1" x14ac:dyDescent="0.2">
      <c r="A34"/>
      <c r="B34"/>
      <c r="C34"/>
    </row>
    <row r="35" spans="1:9" s="24" customFormat="1" x14ac:dyDescent="0.2">
      <c r="A35" s="26"/>
      <c r="B35" s="26"/>
      <c r="C35"/>
      <c r="D35" s="26"/>
      <c r="H35" s="71"/>
    </row>
    <row r="36" spans="1:9" s="24" customFormat="1" x14ac:dyDescent="0.2">
      <c r="A36"/>
      <c r="B36"/>
      <c r="C36" s="26"/>
      <c r="D36" s="26"/>
      <c r="H36" s="71"/>
    </row>
    <row r="37" spans="1:9" s="26" customFormat="1" x14ac:dyDescent="0.2">
      <c r="A37" s="24"/>
      <c r="B37"/>
    </row>
    <row r="38" spans="1:9" s="26" customFormat="1" x14ac:dyDescent="0.2">
      <c r="A38" s="25" t="s">
        <v>464</v>
      </c>
      <c r="B38" s="25"/>
    </row>
    <row r="39" spans="1:9" s="26" customFormat="1" x14ac:dyDescent="0.2">
      <c r="A39" s="4" t="s">
        <v>265</v>
      </c>
      <c r="B39" s="4" t="s">
        <v>473</v>
      </c>
      <c r="I39" s="24"/>
    </row>
    <row r="40" spans="1:9" s="26" customFormat="1" x14ac:dyDescent="0.2">
      <c r="A40" s="20"/>
      <c r="B40" s="4" t="s">
        <v>465</v>
      </c>
      <c r="C40"/>
      <c r="H40" s="24"/>
      <c r="I40" s="24"/>
    </row>
    <row r="41" spans="1:9" s="24" customFormat="1" x14ac:dyDescent="0.2">
      <c r="A41" s="20"/>
      <c r="B41" s="4" t="s">
        <v>466</v>
      </c>
      <c r="C41"/>
      <c r="D41" s="26"/>
      <c r="F41" s="26"/>
      <c r="G41" s="26"/>
    </row>
    <row r="42" spans="1:9" s="26" customFormat="1" x14ac:dyDescent="0.2">
      <c r="A42" s="20"/>
      <c r="B42" s="4" t="s">
        <v>484</v>
      </c>
      <c r="C42"/>
    </row>
    <row r="43" spans="1:9" s="26" customFormat="1" x14ac:dyDescent="0.2">
      <c r="A43" s="20"/>
      <c r="B43" s="4" t="s">
        <v>469</v>
      </c>
      <c r="C43"/>
    </row>
    <row r="44" spans="1:9" s="26" customFormat="1" x14ac:dyDescent="0.2">
      <c r="A44" s="20"/>
      <c r="B44" s="4"/>
      <c r="C44"/>
    </row>
    <row r="45" spans="1:9" s="24" customFormat="1" x14ac:dyDescent="0.2">
      <c r="A45" s="20"/>
      <c r="B45" s="4" t="s">
        <v>472</v>
      </c>
      <c r="C45"/>
      <c r="D45" s="26"/>
      <c r="F45" s="26"/>
      <c r="G45" s="26"/>
      <c r="I45"/>
    </row>
    <row r="46" spans="1:9" s="24" customFormat="1" x14ac:dyDescent="0.2">
      <c r="A46" s="20"/>
      <c r="B46" s="25" t="s">
        <v>467</v>
      </c>
      <c r="C46"/>
      <c r="D46" s="26"/>
      <c r="F46" s="26"/>
      <c r="I46"/>
    </row>
    <row r="47" spans="1:9" s="24" customFormat="1" x14ac:dyDescent="0.2">
      <c r="A47" s="20"/>
      <c r="B47" s="25" t="s">
        <v>476</v>
      </c>
      <c r="C47"/>
      <c r="D47" s="26"/>
      <c r="F47" s="26"/>
      <c r="G47" s="26"/>
      <c r="I47" s="26"/>
    </row>
    <row r="48" spans="1:9" s="26" customFormat="1" x14ac:dyDescent="0.2">
      <c r="A48" s="20"/>
      <c r="B48" s="25" t="s">
        <v>485</v>
      </c>
      <c r="C48"/>
    </row>
    <row r="49" spans="1:9" s="26" customFormat="1" x14ac:dyDescent="0.2">
      <c r="A49" s="20"/>
      <c r="B49" s="25" t="s">
        <v>468</v>
      </c>
      <c r="C49"/>
      <c r="I49"/>
    </row>
    <row r="50" spans="1:9" x14ac:dyDescent="0.2">
      <c r="A50" s="26"/>
      <c r="B50" s="26"/>
      <c r="F50" s="26"/>
      <c r="G50" s="26"/>
    </row>
    <row r="51" spans="1:9" x14ac:dyDescent="0.2">
      <c r="A51" s="26"/>
      <c r="B51" s="26"/>
      <c r="F51" s="26"/>
      <c r="G51" s="26"/>
    </row>
    <row r="52" spans="1:9" s="26" customFormat="1" x14ac:dyDescent="0.2">
      <c r="C52"/>
      <c r="I52"/>
    </row>
    <row r="53" spans="1:9" s="26" customFormat="1" x14ac:dyDescent="0.2">
      <c r="A53" s="25" t="s">
        <v>495</v>
      </c>
      <c r="B53" s="25"/>
      <c r="C53"/>
      <c r="F53"/>
      <c r="I53"/>
    </row>
    <row r="54" spans="1:9" x14ac:dyDescent="0.2">
      <c r="A54" s="25"/>
      <c r="B54" s="25" t="s">
        <v>496</v>
      </c>
      <c r="G54" s="26"/>
    </row>
    <row r="55" spans="1:9" x14ac:dyDescent="0.2">
      <c r="A55" s="25"/>
      <c r="B55" s="25" t="s">
        <v>497</v>
      </c>
      <c r="F55" s="26"/>
    </row>
    <row r="56" spans="1:9" x14ac:dyDescent="0.2">
      <c r="A56" s="25"/>
      <c r="B56" s="25" t="s">
        <v>502</v>
      </c>
      <c r="F56" s="26"/>
    </row>
    <row r="57" spans="1:9" x14ac:dyDescent="0.2">
      <c r="A57" s="25"/>
      <c r="B57" s="25" t="s">
        <v>503</v>
      </c>
    </row>
    <row r="58" spans="1:9" x14ac:dyDescent="0.2">
      <c r="A58" s="25"/>
      <c r="B58" s="25" t="s">
        <v>504</v>
      </c>
    </row>
    <row r="59" spans="1:9" x14ac:dyDescent="0.2">
      <c r="A59" s="25"/>
      <c r="B59" s="25"/>
    </row>
    <row r="60" spans="1:9" x14ac:dyDescent="0.2">
      <c r="A60" s="25"/>
      <c r="B60" s="25" t="s">
        <v>498</v>
      </c>
    </row>
    <row r="61" spans="1:9" x14ac:dyDescent="0.2">
      <c r="A61" s="25"/>
      <c r="B61" s="25" t="s">
        <v>499</v>
      </c>
    </row>
    <row r="62" spans="1:9" x14ac:dyDescent="0.2">
      <c r="A62" s="25"/>
      <c r="B62" s="25" t="s">
        <v>505</v>
      </c>
    </row>
    <row r="63" spans="1:9" x14ac:dyDescent="0.2">
      <c r="A63" s="25"/>
      <c r="B63" s="25" t="s">
        <v>506</v>
      </c>
    </row>
    <row r="64" spans="1:9" x14ac:dyDescent="0.2">
      <c r="A64" s="25"/>
      <c r="B64" s="25" t="s">
        <v>509</v>
      </c>
    </row>
    <row r="65" spans="1:2" x14ac:dyDescent="0.2">
      <c r="A65" s="25"/>
      <c r="B65" s="25"/>
    </row>
    <row r="66" spans="1:2" x14ac:dyDescent="0.2">
      <c r="A66" s="25"/>
      <c r="B66" s="25" t="s">
        <v>500</v>
      </c>
    </row>
    <row r="67" spans="1:2" x14ac:dyDescent="0.2">
      <c r="A67" s="25"/>
      <c r="B67" s="25" t="s">
        <v>501</v>
      </c>
    </row>
    <row r="68" spans="1:2" x14ac:dyDescent="0.2">
      <c r="A68" s="25"/>
      <c r="B68" s="25" t="s">
        <v>507</v>
      </c>
    </row>
    <row r="69" spans="1:2" x14ac:dyDescent="0.2">
      <c r="A69" s="25"/>
      <c r="B69" s="25" t="s">
        <v>508</v>
      </c>
    </row>
    <row r="70" spans="1:2" x14ac:dyDescent="0.2">
      <c r="A70" s="25"/>
      <c r="B70" s="25" t="s">
        <v>510</v>
      </c>
    </row>
    <row r="71" spans="1:2" x14ac:dyDescent="0.2">
      <c r="A71" s="26"/>
      <c r="B71" s="26"/>
    </row>
    <row r="72" spans="1:2" x14ac:dyDescent="0.2">
      <c r="A72" s="26"/>
      <c r="B72" s="26"/>
    </row>
    <row r="73" spans="1:2" x14ac:dyDescent="0.2">
      <c r="A73" s="26"/>
      <c r="B73" s="26"/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73"/>
  <sheetViews>
    <sheetView topLeftCell="A4" workbookViewId="0">
      <selection activeCell="A28" sqref="A28:C28"/>
    </sheetView>
  </sheetViews>
  <sheetFormatPr baseColWidth="10" defaultColWidth="8.83203125" defaultRowHeight="15" x14ac:dyDescent="0.2"/>
  <cols>
    <col min="1" max="1" width="44.5" bestFit="1" customWidth="1"/>
    <col min="2" max="2" width="66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492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2322.0500000000002</v>
      </c>
      <c r="C3" s="51">
        <v>2322.0500000000002</v>
      </c>
      <c r="H3" s="26"/>
    </row>
    <row r="4" spans="1:11" x14ac:dyDescent="0.2">
      <c r="A4" s="26" t="s">
        <v>265</v>
      </c>
      <c r="B4">
        <v>1223.79</v>
      </c>
      <c r="C4">
        <v>1223.79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3545.84</v>
      </c>
      <c r="G8" s="27">
        <f>C9+C10+C11+C12+C13+C14+C15+C16+C17+C18+C19</f>
        <v>2685.9900000000002</v>
      </c>
      <c r="H8" s="27">
        <f>F8-G8</f>
        <v>859.84999999999991</v>
      </c>
    </row>
    <row r="9" spans="1:11" s="24" customFormat="1" x14ac:dyDescent="0.2">
      <c r="A9" s="20" t="s">
        <v>351</v>
      </c>
      <c r="B9" s="20" t="s">
        <v>396</v>
      </c>
      <c r="C9" s="21">
        <v>209.6</v>
      </c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1590.3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311</v>
      </c>
      <c r="B11" s="20" t="s">
        <v>394</v>
      </c>
      <c r="C11" s="21">
        <v>74.900000000000006</v>
      </c>
      <c r="D11" s="26"/>
      <c r="F11" s="33">
        <f>B3+B4</f>
        <v>3545.84</v>
      </c>
      <c r="G11" s="27">
        <f>C22+C23+C24+C25+C26+C27+C28+C29+C30+C31+C32</f>
        <v>2450.9499999999998</v>
      </c>
      <c r="H11" s="27">
        <f>F11-G11</f>
        <v>1094.8900000000003</v>
      </c>
      <c r="I11" s="26"/>
    </row>
    <row r="12" spans="1:11" s="24" customFormat="1" x14ac:dyDescent="0.2">
      <c r="A12" s="20" t="s">
        <v>454</v>
      </c>
      <c r="B12" s="20" t="s">
        <v>403</v>
      </c>
      <c r="C12" s="21">
        <v>99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76</v>
      </c>
      <c r="B13" s="20" t="s">
        <v>402</v>
      </c>
      <c r="C13" s="21">
        <v>14.99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453</v>
      </c>
      <c r="B14" s="20" t="s">
        <v>398</v>
      </c>
      <c r="C14" s="21">
        <v>25</v>
      </c>
      <c r="D14" s="26"/>
      <c r="F14" s="31"/>
      <c r="G14" s="31"/>
      <c r="H14" s="31"/>
    </row>
    <row r="15" spans="1:11" s="24" customFormat="1" x14ac:dyDescent="0.2">
      <c r="A15" s="20" t="s">
        <v>350</v>
      </c>
      <c r="B15" s="20" t="s">
        <v>396</v>
      </c>
      <c r="C15" s="21">
        <v>209.6</v>
      </c>
      <c r="D15" s="26"/>
      <c r="F15" s="31"/>
      <c r="G15" s="31"/>
      <c r="H15" s="31"/>
    </row>
    <row r="16" spans="1:11" s="24" customFormat="1" x14ac:dyDescent="0.2">
      <c r="A16" s="20" t="s">
        <v>471</v>
      </c>
      <c r="B16" s="20" t="s">
        <v>401</v>
      </c>
      <c r="C16" s="21">
        <v>128.05000000000001</v>
      </c>
      <c r="F16" s="31"/>
      <c r="G16" s="31"/>
      <c r="H16" s="31"/>
    </row>
    <row r="17" spans="1:9" s="24" customFormat="1" x14ac:dyDescent="0.2">
      <c r="A17" s="20" t="s">
        <v>442</v>
      </c>
      <c r="B17" s="20" t="s">
        <v>441</v>
      </c>
      <c r="C17" s="21">
        <v>68</v>
      </c>
      <c r="D17" s="26"/>
      <c r="F17" s="31"/>
      <c r="G17" s="31"/>
      <c r="H17" s="31"/>
      <c r="I17" s="26"/>
    </row>
    <row r="18" spans="1:9" s="24" customFormat="1" x14ac:dyDescent="0.2">
      <c r="A18" s="20" t="s">
        <v>301</v>
      </c>
      <c r="B18" s="20" t="s">
        <v>391</v>
      </c>
      <c r="C18" s="55">
        <v>95</v>
      </c>
      <c r="D18" s="26"/>
      <c r="F18" s="31"/>
      <c r="G18" s="31"/>
      <c r="H18" s="31"/>
      <c r="I18" s="26"/>
    </row>
    <row r="19" spans="1:9" s="24" customFormat="1" x14ac:dyDescent="0.2">
      <c r="A19" s="20" t="s">
        <v>470</v>
      </c>
      <c r="B19" s="20" t="s">
        <v>400</v>
      </c>
      <c r="C19" s="21">
        <v>171.55</v>
      </c>
      <c r="D19" s="26"/>
      <c r="F19" s="31"/>
      <c r="G19" s="31"/>
      <c r="H19" s="31"/>
      <c r="I19" s="26"/>
    </row>
    <row r="20" spans="1:9" s="24" customFormat="1" x14ac:dyDescent="0.2">
      <c r="A20" s="29"/>
      <c r="B20" s="29"/>
      <c r="C20" s="30"/>
      <c r="D20" s="26"/>
      <c r="F20" s="31"/>
      <c r="G20" s="31"/>
      <c r="H20" s="31"/>
      <c r="I20" s="26"/>
    </row>
    <row r="21" spans="1:9" s="24" customFormat="1" x14ac:dyDescent="0.2">
      <c r="A21" s="32" t="s">
        <v>13</v>
      </c>
      <c r="B21" s="25"/>
      <c r="C21" s="27"/>
      <c r="D21" s="26"/>
      <c r="F21" s="31"/>
      <c r="G21" s="31"/>
      <c r="H21" s="31"/>
      <c r="I21" s="26"/>
    </row>
    <row r="22" spans="1:9" s="24" customFormat="1" x14ac:dyDescent="0.2">
      <c r="A22" s="20" t="s">
        <v>348</v>
      </c>
      <c r="B22" s="20" t="s">
        <v>396</v>
      </c>
      <c r="C22" s="21">
        <v>209.6</v>
      </c>
      <c r="D22" s="26"/>
      <c r="F22" s="31"/>
      <c r="G22" s="31"/>
      <c r="H22" s="31"/>
      <c r="I22" s="26"/>
    </row>
    <row r="23" spans="1:9" s="24" customFormat="1" x14ac:dyDescent="0.2">
      <c r="A23" s="20" t="s">
        <v>451</v>
      </c>
      <c r="B23" s="20" t="s">
        <v>452</v>
      </c>
      <c r="C23" s="21">
        <v>25</v>
      </c>
      <c r="D23" s="26"/>
      <c r="F23" s="31"/>
      <c r="G23" s="31"/>
      <c r="H23" s="31"/>
      <c r="I23" s="26"/>
    </row>
    <row r="24" spans="1:9" s="24" customFormat="1" x14ac:dyDescent="0.2">
      <c r="A24" s="20" t="s">
        <v>267</v>
      </c>
      <c r="B24" s="20" t="s">
        <v>404</v>
      </c>
      <c r="C24" s="55">
        <v>28.13</v>
      </c>
      <c r="D24" s="26"/>
      <c r="F24" s="31"/>
      <c r="G24" s="31"/>
      <c r="H24" s="31"/>
      <c r="I24" s="26"/>
    </row>
    <row r="25" spans="1:9" s="24" customFormat="1" x14ac:dyDescent="0.2">
      <c r="A25" s="20" t="s">
        <v>438</v>
      </c>
      <c r="B25" s="20" t="s">
        <v>405</v>
      </c>
      <c r="C25" s="21">
        <v>61</v>
      </c>
      <c r="D25" s="26"/>
      <c r="F25" s="31"/>
      <c r="G25" s="31"/>
      <c r="H25" s="31"/>
      <c r="I25" s="26"/>
    </row>
    <row r="26" spans="1:9" s="24" customFormat="1" x14ac:dyDescent="0.2">
      <c r="A26" s="20" t="s">
        <v>79</v>
      </c>
      <c r="B26" s="20" t="s">
        <v>390</v>
      </c>
      <c r="C26" s="21">
        <v>174.48</v>
      </c>
      <c r="D26" s="26"/>
      <c r="F26" s="31"/>
      <c r="G26" s="31"/>
      <c r="H26" s="31"/>
      <c r="I26" s="26"/>
    </row>
    <row r="27" spans="1:9" s="24" customFormat="1" x14ac:dyDescent="0.2">
      <c r="A27" s="20" t="s">
        <v>378</v>
      </c>
      <c r="B27" s="20" t="s">
        <v>393</v>
      </c>
      <c r="C27" s="21">
        <v>216.5</v>
      </c>
      <c r="D27" s="26"/>
      <c r="F27" s="31"/>
      <c r="G27" s="31"/>
      <c r="H27" s="31"/>
      <c r="I27" s="26"/>
    </row>
    <row r="28" spans="1:9" s="24" customFormat="1" x14ac:dyDescent="0.2">
      <c r="A28" s="20" t="s">
        <v>493</v>
      </c>
      <c r="B28" s="20" t="s">
        <v>494</v>
      </c>
      <c r="C28" s="21">
        <v>542.02</v>
      </c>
      <c r="D28" s="26"/>
      <c r="F28" s="31"/>
      <c r="G28" s="31"/>
      <c r="H28" s="31"/>
      <c r="I28" s="26"/>
    </row>
    <row r="29" spans="1:9" s="24" customFormat="1" x14ac:dyDescent="0.2">
      <c r="A29" s="20" t="s">
        <v>302</v>
      </c>
      <c r="B29" s="20" t="s">
        <v>388</v>
      </c>
      <c r="C29" s="21">
        <v>214.33</v>
      </c>
      <c r="D29" s="26"/>
      <c r="F29" s="31"/>
      <c r="G29" s="31"/>
      <c r="H29" s="31"/>
      <c r="I29" s="26"/>
    </row>
    <row r="30" spans="1:9" s="24" customFormat="1" x14ac:dyDescent="0.2">
      <c r="A30" s="20" t="s">
        <v>60</v>
      </c>
      <c r="B30" s="20" t="s">
        <v>395</v>
      </c>
      <c r="C30" s="21">
        <v>197.29</v>
      </c>
      <c r="D30" s="26"/>
      <c r="F30" s="31"/>
      <c r="G30" s="31"/>
      <c r="H30" s="31"/>
      <c r="I30" s="26"/>
    </row>
    <row r="31" spans="1:9" s="24" customFormat="1" x14ac:dyDescent="0.2">
      <c r="A31" s="20" t="s">
        <v>316</v>
      </c>
      <c r="B31" s="20" t="s">
        <v>392</v>
      </c>
      <c r="C31" s="21">
        <v>573</v>
      </c>
      <c r="D31" s="26"/>
      <c r="F31" s="26"/>
      <c r="G31" s="26"/>
      <c r="H31" s="26"/>
      <c r="I31" s="26"/>
    </row>
    <row r="32" spans="1:9" s="24" customFormat="1" x14ac:dyDescent="0.2">
      <c r="A32" s="20" t="s">
        <v>349</v>
      </c>
      <c r="B32" s="20" t="s">
        <v>396</v>
      </c>
      <c r="C32" s="21">
        <v>209.6</v>
      </c>
      <c r="D32" s="26"/>
      <c r="F32" s="68" t="s">
        <v>330</v>
      </c>
      <c r="G32" s="26"/>
      <c r="H32" s="26"/>
      <c r="I32" s="26"/>
    </row>
    <row r="33" spans="1:9" s="26" customFormat="1" x14ac:dyDescent="0.2">
      <c r="A33" s="14"/>
      <c r="B33" s="14"/>
      <c r="C33" s="14"/>
      <c r="F33" s="25">
        <f>(H8+H11)/2</f>
        <v>977.37000000000012</v>
      </c>
    </row>
    <row r="34" spans="1:9" s="26" customFormat="1" x14ac:dyDescent="0.2">
      <c r="A34"/>
      <c r="B34"/>
      <c r="C34"/>
    </row>
    <row r="35" spans="1:9" s="24" customFormat="1" x14ac:dyDescent="0.2">
      <c r="A35" s="26"/>
      <c r="B35" s="26"/>
      <c r="C35"/>
      <c r="D35" s="26"/>
      <c r="E35" s="24">
        <v>172.16</v>
      </c>
      <c r="H35" s="71"/>
    </row>
    <row r="36" spans="1:9" s="24" customFormat="1" x14ac:dyDescent="0.2">
      <c r="A36"/>
      <c r="B36"/>
      <c r="C36" s="26"/>
      <c r="D36" s="26"/>
      <c r="H36" s="71"/>
    </row>
    <row r="37" spans="1:9" s="26" customFormat="1" x14ac:dyDescent="0.2">
      <c r="A37" s="24"/>
      <c r="B37"/>
    </row>
    <row r="38" spans="1:9" s="26" customFormat="1" x14ac:dyDescent="0.2">
      <c r="A38" s="25" t="s">
        <v>464</v>
      </c>
      <c r="B38" s="25"/>
    </row>
    <row r="39" spans="1:9" s="26" customFormat="1" x14ac:dyDescent="0.2">
      <c r="A39" s="4" t="s">
        <v>265</v>
      </c>
      <c r="B39" s="4" t="s">
        <v>473</v>
      </c>
      <c r="I39" s="24"/>
    </row>
    <row r="40" spans="1:9" s="26" customFormat="1" x14ac:dyDescent="0.2">
      <c r="A40" s="20"/>
      <c r="B40" s="4" t="s">
        <v>465</v>
      </c>
      <c r="C40"/>
      <c r="H40" s="24"/>
      <c r="I40" s="24"/>
    </row>
    <row r="41" spans="1:9" s="24" customFormat="1" x14ac:dyDescent="0.2">
      <c r="A41" s="20"/>
      <c r="B41" s="4" t="s">
        <v>466</v>
      </c>
      <c r="C41"/>
      <c r="D41" s="26"/>
      <c r="F41" s="26"/>
      <c r="G41" s="26"/>
    </row>
    <row r="42" spans="1:9" s="26" customFormat="1" x14ac:dyDescent="0.2">
      <c r="A42" s="20"/>
      <c r="B42" s="4" t="s">
        <v>484</v>
      </c>
      <c r="C42"/>
    </row>
    <row r="43" spans="1:9" s="26" customFormat="1" x14ac:dyDescent="0.2">
      <c r="A43" s="20"/>
      <c r="B43" s="4" t="s">
        <v>469</v>
      </c>
      <c r="C43"/>
    </row>
    <row r="44" spans="1:9" s="26" customFormat="1" x14ac:dyDescent="0.2">
      <c r="A44" s="20"/>
      <c r="B44" s="4"/>
      <c r="C44"/>
    </row>
    <row r="45" spans="1:9" s="24" customFormat="1" x14ac:dyDescent="0.2">
      <c r="A45" s="20"/>
      <c r="B45" s="4" t="s">
        <v>472</v>
      </c>
      <c r="C45"/>
      <c r="D45" s="26"/>
      <c r="F45" s="26"/>
      <c r="G45" s="26"/>
      <c r="I45"/>
    </row>
    <row r="46" spans="1:9" s="24" customFormat="1" x14ac:dyDescent="0.2">
      <c r="A46" s="20"/>
      <c r="B46" s="25" t="s">
        <v>467</v>
      </c>
      <c r="C46"/>
      <c r="D46" s="26"/>
      <c r="F46" s="26"/>
      <c r="I46"/>
    </row>
    <row r="47" spans="1:9" s="24" customFormat="1" x14ac:dyDescent="0.2">
      <c r="A47" s="20"/>
      <c r="B47" s="25" t="s">
        <v>476</v>
      </c>
      <c r="C47"/>
      <c r="D47" s="26"/>
      <c r="F47" s="26"/>
      <c r="G47" s="26"/>
      <c r="I47" s="26"/>
    </row>
    <row r="48" spans="1:9" s="26" customFormat="1" x14ac:dyDescent="0.2">
      <c r="A48" s="20"/>
      <c r="B48" s="25" t="s">
        <v>485</v>
      </c>
      <c r="C48"/>
    </row>
    <row r="49" spans="1:9" s="26" customFormat="1" x14ac:dyDescent="0.2">
      <c r="A49" s="20"/>
      <c r="B49" s="25" t="s">
        <v>468</v>
      </c>
      <c r="C49"/>
      <c r="I49"/>
    </row>
    <row r="50" spans="1:9" x14ac:dyDescent="0.2">
      <c r="A50" s="26"/>
      <c r="B50" s="26"/>
      <c r="F50" s="26"/>
      <c r="G50" s="26"/>
    </row>
    <row r="51" spans="1:9" x14ac:dyDescent="0.2">
      <c r="A51" s="26"/>
      <c r="B51" s="26"/>
      <c r="F51" s="26"/>
      <c r="G51" s="26"/>
    </row>
    <row r="52" spans="1:9" s="26" customFormat="1" x14ac:dyDescent="0.2">
      <c r="C52"/>
      <c r="I52"/>
    </row>
    <row r="53" spans="1:9" s="26" customFormat="1" x14ac:dyDescent="0.2">
      <c r="A53" s="25" t="s">
        <v>495</v>
      </c>
      <c r="B53" s="25"/>
      <c r="C53"/>
      <c r="F53"/>
      <c r="I53"/>
    </row>
    <row r="54" spans="1:9" x14ac:dyDescent="0.2">
      <c r="A54" s="25"/>
      <c r="B54" s="25" t="s">
        <v>496</v>
      </c>
      <c r="G54" s="26"/>
    </row>
    <row r="55" spans="1:9" x14ac:dyDescent="0.2">
      <c r="A55" s="25"/>
      <c r="B55" s="25" t="s">
        <v>497</v>
      </c>
      <c r="F55" s="26"/>
    </row>
    <row r="56" spans="1:9" x14ac:dyDescent="0.2">
      <c r="A56" s="25"/>
      <c r="B56" s="25" t="s">
        <v>502</v>
      </c>
      <c r="F56" s="26"/>
    </row>
    <row r="57" spans="1:9" x14ac:dyDescent="0.2">
      <c r="A57" s="25"/>
      <c r="B57" s="25" t="s">
        <v>503</v>
      </c>
    </row>
    <row r="58" spans="1:9" x14ac:dyDescent="0.2">
      <c r="A58" s="25"/>
      <c r="B58" s="25" t="s">
        <v>504</v>
      </c>
    </row>
    <row r="59" spans="1:9" x14ac:dyDescent="0.2">
      <c r="A59" s="25"/>
      <c r="B59" s="25"/>
    </row>
    <row r="60" spans="1:9" x14ac:dyDescent="0.2">
      <c r="A60" s="25"/>
      <c r="B60" s="25" t="s">
        <v>498</v>
      </c>
    </row>
    <row r="61" spans="1:9" x14ac:dyDescent="0.2">
      <c r="A61" s="25"/>
      <c r="B61" s="25" t="s">
        <v>499</v>
      </c>
    </row>
    <row r="62" spans="1:9" x14ac:dyDescent="0.2">
      <c r="A62" s="25"/>
      <c r="B62" s="25" t="s">
        <v>505</v>
      </c>
    </row>
    <row r="63" spans="1:9" x14ac:dyDescent="0.2">
      <c r="A63" s="25"/>
      <c r="B63" s="25" t="s">
        <v>506</v>
      </c>
    </row>
    <row r="64" spans="1:9" x14ac:dyDescent="0.2">
      <c r="A64" s="25"/>
      <c r="B64" s="25" t="s">
        <v>509</v>
      </c>
    </row>
    <row r="65" spans="1:2" x14ac:dyDescent="0.2">
      <c r="A65" s="25"/>
      <c r="B65" s="25"/>
    </row>
    <row r="66" spans="1:2" x14ac:dyDescent="0.2">
      <c r="A66" s="25"/>
      <c r="B66" s="25" t="s">
        <v>500</v>
      </c>
    </row>
    <row r="67" spans="1:2" x14ac:dyDescent="0.2">
      <c r="A67" s="25"/>
      <c r="B67" s="25" t="s">
        <v>501</v>
      </c>
    </row>
    <row r="68" spans="1:2" x14ac:dyDescent="0.2">
      <c r="A68" s="25"/>
      <c r="B68" s="25" t="s">
        <v>507</v>
      </c>
    </row>
    <row r="69" spans="1:2" x14ac:dyDescent="0.2">
      <c r="A69" s="25"/>
      <c r="B69" s="25" t="s">
        <v>508</v>
      </c>
    </row>
    <row r="70" spans="1:2" x14ac:dyDescent="0.2">
      <c r="A70" s="25"/>
      <c r="B70" s="25" t="s">
        <v>510</v>
      </c>
    </row>
    <row r="71" spans="1:2" x14ac:dyDescent="0.2">
      <c r="A71" s="26"/>
      <c r="B71" s="26"/>
    </row>
    <row r="72" spans="1:2" x14ac:dyDescent="0.2">
      <c r="A72" s="26"/>
      <c r="B72" s="26"/>
    </row>
    <row r="73" spans="1:2" x14ac:dyDescent="0.2">
      <c r="A73" s="26"/>
      <c r="B73" s="26"/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73"/>
  <sheetViews>
    <sheetView zoomScaleNormal="100" workbookViewId="0">
      <selection activeCell="A21" sqref="A21:C21"/>
    </sheetView>
  </sheetViews>
  <sheetFormatPr baseColWidth="10" defaultColWidth="8.83203125" defaultRowHeight="15" x14ac:dyDescent="0.2"/>
  <cols>
    <col min="1" max="1" width="44.5" bestFit="1" customWidth="1"/>
    <col min="2" max="2" width="66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463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2322.0500000000002</v>
      </c>
      <c r="C3" s="51">
        <v>2322.0500000000002</v>
      </c>
      <c r="H3" s="26"/>
    </row>
    <row r="4" spans="1:11" x14ac:dyDescent="0.2">
      <c r="A4" s="26" t="s">
        <v>265</v>
      </c>
      <c r="B4">
        <v>1223.79</v>
      </c>
      <c r="C4">
        <v>1223.79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3545.84</v>
      </c>
      <c r="G8" s="27">
        <f>C9+C10+C11+C12+C13+C14+C15+C16+C17+C18+C19+C20+C21</f>
        <v>2817.63</v>
      </c>
      <c r="H8" s="27">
        <f>F8-G8</f>
        <v>728.21</v>
      </c>
    </row>
    <row r="9" spans="1:11" s="24" customFormat="1" x14ac:dyDescent="0.2">
      <c r="A9" s="20" t="s">
        <v>351</v>
      </c>
      <c r="B9" s="20" t="s">
        <v>396</v>
      </c>
      <c r="C9" s="21">
        <v>209.6</v>
      </c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1590.3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311</v>
      </c>
      <c r="B11" s="20" t="s">
        <v>394</v>
      </c>
      <c r="C11" s="21">
        <v>74.900000000000006</v>
      </c>
      <c r="D11" s="26"/>
      <c r="F11" s="33">
        <f>B3+B4</f>
        <v>3545.84</v>
      </c>
      <c r="G11" s="27">
        <f>C24+C25+C26+C27+C28+C29+C30+C31+C32+C33+C34+C35+C36</f>
        <v>2417.94</v>
      </c>
      <c r="H11" s="27">
        <f>F11-G11</f>
        <v>1127.9000000000001</v>
      </c>
      <c r="I11" s="26"/>
    </row>
    <row r="12" spans="1:11" s="24" customFormat="1" x14ac:dyDescent="0.2">
      <c r="A12" s="20" t="s">
        <v>449</v>
      </c>
      <c r="B12" s="20" t="s">
        <v>403</v>
      </c>
      <c r="C12" s="21">
        <v>152.63999999999999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454</v>
      </c>
      <c r="B13" s="20" t="s">
        <v>403</v>
      </c>
      <c r="C13" s="21">
        <v>78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76</v>
      </c>
      <c r="B14" s="20" t="s">
        <v>402</v>
      </c>
      <c r="C14" s="21">
        <v>14.99</v>
      </c>
      <c r="D14" s="26"/>
      <c r="F14" s="31"/>
      <c r="G14" s="31"/>
      <c r="H14" s="31"/>
    </row>
    <row r="15" spans="1:11" s="24" customFormat="1" x14ac:dyDescent="0.2">
      <c r="A15" s="20" t="s">
        <v>453</v>
      </c>
      <c r="B15" s="20" t="s">
        <v>398</v>
      </c>
      <c r="C15" s="21">
        <v>25</v>
      </c>
      <c r="D15" s="26"/>
      <c r="F15" s="31"/>
      <c r="G15" s="31"/>
      <c r="H15" s="31"/>
    </row>
    <row r="16" spans="1:11" s="24" customFormat="1" x14ac:dyDescent="0.2">
      <c r="A16" s="20" t="s">
        <v>350</v>
      </c>
      <c r="B16" s="20" t="s">
        <v>396</v>
      </c>
      <c r="C16" s="21">
        <v>209.6</v>
      </c>
      <c r="F16" s="31"/>
      <c r="G16" s="31"/>
      <c r="H16" s="31"/>
    </row>
    <row r="17" spans="1:9" s="24" customFormat="1" x14ac:dyDescent="0.2">
      <c r="A17" s="20" t="s">
        <v>471</v>
      </c>
      <c r="B17" s="20" t="s">
        <v>401</v>
      </c>
      <c r="C17" s="21">
        <v>128.05000000000001</v>
      </c>
      <c r="D17" s="26"/>
      <c r="F17" s="31"/>
      <c r="G17" s="31"/>
      <c r="H17" s="31"/>
      <c r="I17" s="26"/>
    </row>
    <row r="18" spans="1:9" s="24" customFormat="1" x14ac:dyDescent="0.2">
      <c r="A18" s="20" t="s">
        <v>442</v>
      </c>
      <c r="B18" s="20" t="s">
        <v>441</v>
      </c>
      <c r="C18" s="21">
        <v>68</v>
      </c>
      <c r="D18" s="26"/>
      <c r="F18" s="31"/>
      <c r="G18" s="31"/>
      <c r="H18" s="31"/>
      <c r="I18" s="26"/>
    </row>
    <row r="19" spans="1:9" s="24" customFormat="1" x14ac:dyDescent="0.2">
      <c r="A19" s="20" t="s">
        <v>301</v>
      </c>
      <c r="B19" s="20" t="s">
        <v>391</v>
      </c>
      <c r="C19" s="55">
        <v>95</v>
      </c>
      <c r="D19" s="26"/>
      <c r="F19" s="31"/>
      <c r="G19" s="31"/>
      <c r="H19" s="31"/>
      <c r="I19" s="26"/>
    </row>
    <row r="20" spans="1:9" s="24" customFormat="1" x14ac:dyDescent="0.2">
      <c r="A20" s="20" t="s">
        <v>470</v>
      </c>
      <c r="B20" s="20" t="s">
        <v>400</v>
      </c>
      <c r="C20" s="21">
        <v>171.55</v>
      </c>
      <c r="D20" s="26"/>
      <c r="F20" s="31"/>
      <c r="G20" s="31"/>
      <c r="H20" s="31"/>
      <c r="I20" s="26"/>
    </row>
    <row r="21" spans="1:9" s="24" customFormat="1" x14ac:dyDescent="0.2">
      <c r="A21" s="25"/>
      <c r="B21" s="25"/>
      <c r="C21" s="58"/>
      <c r="D21" s="26"/>
      <c r="F21" s="31"/>
      <c r="G21" s="31"/>
      <c r="H21" s="31"/>
      <c r="I21" s="26"/>
    </row>
    <row r="22" spans="1:9" s="24" customFormat="1" x14ac:dyDescent="0.2">
      <c r="A22" s="29"/>
      <c r="B22" s="29"/>
      <c r="C22" s="30"/>
      <c r="D22" s="26"/>
      <c r="F22" s="31"/>
      <c r="G22" s="31"/>
      <c r="H22" s="31"/>
      <c r="I22" s="26"/>
    </row>
    <row r="23" spans="1:9" s="24" customFormat="1" x14ac:dyDescent="0.2">
      <c r="A23" s="32" t="s">
        <v>13</v>
      </c>
      <c r="B23" s="25"/>
      <c r="C23" s="27"/>
      <c r="D23" s="26"/>
      <c r="F23" s="31"/>
      <c r="G23" s="31"/>
      <c r="H23" s="31"/>
      <c r="I23" s="26"/>
    </row>
    <row r="24" spans="1:9" s="24" customFormat="1" x14ac:dyDescent="0.2">
      <c r="A24" s="20" t="s">
        <v>348</v>
      </c>
      <c r="B24" s="20" t="s">
        <v>396</v>
      </c>
      <c r="C24" s="21">
        <v>209.6</v>
      </c>
      <c r="D24" s="26"/>
      <c r="F24" s="31"/>
      <c r="G24" s="31"/>
      <c r="H24" s="31"/>
      <c r="I24" s="26"/>
    </row>
    <row r="25" spans="1:9" s="24" customFormat="1" x14ac:dyDescent="0.2">
      <c r="A25" s="20" t="s">
        <v>451</v>
      </c>
      <c r="B25" s="20" t="s">
        <v>452</v>
      </c>
      <c r="C25" s="21">
        <v>25</v>
      </c>
      <c r="D25" s="26"/>
      <c r="F25" s="31"/>
      <c r="G25" s="31"/>
      <c r="H25" s="31"/>
      <c r="I25" s="26"/>
    </row>
    <row r="26" spans="1:9" s="24" customFormat="1" x14ac:dyDescent="0.2">
      <c r="A26" s="20" t="s">
        <v>267</v>
      </c>
      <c r="B26" s="20" t="s">
        <v>404</v>
      </c>
      <c r="C26" s="55">
        <v>28.13</v>
      </c>
      <c r="D26" s="26"/>
      <c r="F26" s="31"/>
      <c r="G26" s="31"/>
      <c r="H26" s="31"/>
      <c r="I26" s="26"/>
    </row>
    <row r="27" spans="1:9" s="24" customFormat="1" x14ac:dyDescent="0.2">
      <c r="A27" s="20" t="s">
        <v>438</v>
      </c>
      <c r="B27" s="20" t="s">
        <v>405</v>
      </c>
      <c r="C27" s="21">
        <v>61</v>
      </c>
      <c r="D27" s="26"/>
      <c r="F27" s="31"/>
      <c r="G27" s="31"/>
      <c r="H27" s="31"/>
      <c r="I27" s="26"/>
    </row>
    <row r="28" spans="1:9" s="24" customFormat="1" x14ac:dyDescent="0.2">
      <c r="A28" s="20" t="s">
        <v>79</v>
      </c>
      <c r="B28" s="20" t="s">
        <v>390</v>
      </c>
      <c r="C28" s="21">
        <v>174.48</v>
      </c>
      <c r="D28" s="26"/>
      <c r="F28" s="31"/>
      <c r="G28" s="31"/>
      <c r="H28" s="31"/>
      <c r="I28" s="26"/>
    </row>
    <row r="29" spans="1:9" s="24" customFormat="1" x14ac:dyDescent="0.2">
      <c r="A29" s="20" t="s">
        <v>378</v>
      </c>
      <c r="B29" s="20" t="s">
        <v>393</v>
      </c>
      <c r="C29" s="21">
        <v>216.5</v>
      </c>
      <c r="D29" s="26"/>
      <c r="F29" s="31"/>
      <c r="G29" s="31"/>
      <c r="H29" s="31"/>
      <c r="I29" s="26"/>
    </row>
    <row r="30" spans="1:9" s="24" customFormat="1" x14ac:dyDescent="0.2">
      <c r="A30" s="20" t="s">
        <v>73</v>
      </c>
      <c r="B30" s="20" t="s">
        <v>440</v>
      </c>
      <c r="C30" s="21">
        <v>244.92</v>
      </c>
      <c r="D30" s="26"/>
      <c r="F30" s="31"/>
      <c r="G30" s="31"/>
      <c r="H30" s="31"/>
      <c r="I30" s="26"/>
    </row>
    <row r="31" spans="1:9" s="24" customFormat="1" x14ac:dyDescent="0.2">
      <c r="A31" s="20" t="s">
        <v>302</v>
      </c>
      <c r="B31" s="20" t="s">
        <v>388</v>
      </c>
      <c r="C31" s="21">
        <v>220.18</v>
      </c>
      <c r="D31" s="26"/>
      <c r="F31" s="26"/>
      <c r="G31" s="26"/>
      <c r="H31" s="26"/>
      <c r="I31" s="26"/>
    </row>
    <row r="32" spans="1:9" s="24" customFormat="1" x14ac:dyDescent="0.2">
      <c r="A32" s="20" t="s">
        <v>60</v>
      </c>
      <c r="B32" s="20" t="s">
        <v>395</v>
      </c>
      <c r="C32" s="21">
        <v>197.29</v>
      </c>
      <c r="D32" s="26"/>
      <c r="F32" s="68" t="s">
        <v>330</v>
      </c>
      <c r="G32" s="26"/>
      <c r="H32" s="26"/>
      <c r="I32" s="26"/>
    </row>
    <row r="33" spans="1:9" s="26" customFormat="1" x14ac:dyDescent="0.2">
      <c r="A33" s="25" t="s">
        <v>460</v>
      </c>
      <c r="B33" s="25" t="s">
        <v>395</v>
      </c>
      <c r="C33" s="27">
        <v>258.24</v>
      </c>
      <c r="F33" s="25">
        <f>(H8+H11)/2</f>
        <v>928.05500000000006</v>
      </c>
    </row>
    <row r="34" spans="1:9" s="26" customFormat="1" x14ac:dyDescent="0.2">
      <c r="A34" s="25"/>
      <c r="B34" s="25"/>
      <c r="C34" s="58"/>
    </row>
    <row r="35" spans="1:9" s="24" customFormat="1" x14ac:dyDescent="0.2">
      <c r="A35" s="20" t="s">
        <v>316</v>
      </c>
      <c r="B35" s="20" t="s">
        <v>392</v>
      </c>
      <c r="C35" s="21">
        <v>573</v>
      </c>
      <c r="D35" s="26"/>
      <c r="H35" s="71"/>
    </row>
    <row r="36" spans="1:9" s="24" customFormat="1" x14ac:dyDescent="0.2">
      <c r="A36" s="20" t="s">
        <v>349</v>
      </c>
      <c r="B36" s="20" t="s">
        <v>396</v>
      </c>
      <c r="C36" s="21">
        <v>209.6</v>
      </c>
      <c r="D36" s="26"/>
      <c r="H36" s="71"/>
    </row>
    <row r="37" spans="1:9" s="26" customFormat="1" x14ac:dyDescent="0.2">
      <c r="A37" s="14"/>
      <c r="B37" s="14"/>
      <c r="C37" s="14"/>
    </row>
    <row r="38" spans="1:9" s="26" customFormat="1" x14ac:dyDescent="0.2">
      <c r="A38"/>
      <c r="B38"/>
      <c r="C38"/>
    </row>
    <row r="39" spans="1:9" s="26" customFormat="1" x14ac:dyDescent="0.2">
      <c r="C39"/>
      <c r="I39" s="24"/>
    </row>
    <row r="40" spans="1:9" s="26" customFormat="1" x14ac:dyDescent="0.2">
      <c r="A40"/>
      <c r="B40"/>
      <c r="H40" s="24"/>
      <c r="I40" s="24"/>
    </row>
    <row r="41" spans="1:9" s="24" customFormat="1" x14ac:dyDescent="0.2">
      <c r="B41"/>
      <c r="C41" s="26"/>
      <c r="D41" s="26"/>
      <c r="F41" s="26"/>
      <c r="G41" s="26"/>
    </row>
    <row r="42" spans="1:9" s="26" customFormat="1" x14ac:dyDescent="0.2">
      <c r="A42" s="25" t="s">
        <v>464</v>
      </c>
      <c r="B42" s="25"/>
    </row>
    <row r="43" spans="1:9" s="26" customFormat="1" x14ac:dyDescent="0.2">
      <c r="A43" s="4" t="s">
        <v>265</v>
      </c>
      <c r="B43" s="4" t="s">
        <v>473</v>
      </c>
    </row>
    <row r="44" spans="1:9" s="26" customFormat="1" x14ac:dyDescent="0.2">
      <c r="A44" s="20"/>
      <c r="B44" s="4" t="s">
        <v>465</v>
      </c>
      <c r="C44"/>
    </row>
    <row r="45" spans="1:9" s="24" customFormat="1" x14ac:dyDescent="0.2">
      <c r="A45" s="20"/>
      <c r="B45" s="4" t="s">
        <v>466</v>
      </c>
      <c r="C45"/>
      <c r="D45" s="26"/>
      <c r="F45" s="26"/>
      <c r="G45" s="26"/>
      <c r="I45"/>
    </row>
    <row r="46" spans="1:9" s="24" customFormat="1" x14ac:dyDescent="0.2">
      <c r="A46" s="20"/>
      <c r="B46" s="4" t="s">
        <v>484</v>
      </c>
      <c r="C46"/>
      <c r="D46" s="26"/>
      <c r="F46" s="26"/>
      <c r="I46"/>
    </row>
    <row r="47" spans="1:9" s="24" customFormat="1" x14ac:dyDescent="0.2">
      <c r="A47" s="20"/>
      <c r="B47" s="4" t="s">
        <v>469</v>
      </c>
      <c r="C47"/>
      <c r="D47" s="26"/>
      <c r="F47" s="26"/>
      <c r="G47" s="26"/>
      <c r="I47" s="26"/>
    </row>
    <row r="48" spans="1:9" s="26" customFormat="1" x14ac:dyDescent="0.2">
      <c r="A48" s="20"/>
      <c r="B48" s="4"/>
      <c r="C48"/>
    </row>
    <row r="49" spans="1:9" s="26" customFormat="1" x14ac:dyDescent="0.2">
      <c r="A49" s="20"/>
      <c r="B49" s="4" t="s">
        <v>472</v>
      </c>
      <c r="C49"/>
      <c r="I49"/>
    </row>
    <row r="50" spans="1:9" x14ac:dyDescent="0.2">
      <c r="A50" s="20"/>
      <c r="B50" s="25" t="s">
        <v>467</v>
      </c>
      <c r="F50" s="26"/>
      <c r="G50" s="26"/>
    </row>
    <row r="51" spans="1:9" x14ac:dyDescent="0.2">
      <c r="A51" s="20"/>
      <c r="B51" s="25" t="s">
        <v>476</v>
      </c>
      <c r="F51" s="26"/>
      <c r="G51" s="26"/>
    </row>
    <row r="52" spans="1:9" s="26" customFormat="1" x14ac:dyDescent="0.2">
      <c r="A52" s="20"/>
      <c r="B52" s="25" t="s">
        <v>485</v>
      </c>
      <c r="C52"/>
      <c r="I52"/>
    </row>
    <row r="53" spans="1:9" s="26" customFormat="1" x14ac:dyDescent="0.2">
      <c r="A53" s="20"/>
      <c r="B53" s="25" t="s">
        <v>468</v>
      </c>
      <c r="C53"/>
      <c r="F53"/>
      <c r="I53"/>
    </row>
    <row r="54" spans="1:9" x14ac:dyDescent="0.2">
      <c r="A54" s="20"/>
      <c r="B54" s="25"/>
      <c r="G54" s="26"/>
    </row>
    <row r="55" spans="1:9" x14ac:dyDescent="0.2">
      <c r="A55" s="20"/>
      <c r="B55" s="25"/>
      <c r="F55" s="26"/>
    </row>
    <row r="56" spans="1:9" x14ac:dyDescent="0.2">
      <c r="A56" s="20"/>
      <c r="B56" s="25"/>
      <c r="F56" s="26"/>
    </row>
    <row r="57" spans="1:9" x14ac:dyDescent="0.2">
      <c r="A57" s="4" t="s">
        <v>262</v>
      </c>
      <c r="B57" s="25" t="s">
        <v>477</v>
      </c>
    </row>
    <row r="58" spans="1:9" x14ac:dyDescent="0.2">
      <c r="A58" s="20"/>
      <c r="B58" s="25" t="s">
        <v>478</v>
      </c>
    </row>
    <row r="59" spans="1:9" x14ac:dyDescent="0.2">
      <c r="A59" s="20"/>
      <c r="B59" s="25" t="s">
        <v>481</v>
      </c>
    </row>
    <row r="60" spans="1:9" x14ac:dyDescent="0.2">
      <c r="A60" s="20"/>
      <c r="B60" s="25" t="s">
        <v>486</v>
      </c>
    </row>
    <row r="61" spans="1:9" x14ac:dyDescent="0.2">
      <c r="A61" s="20"/>
      <c r="B61" s="25" t="s">
        <v>482</v>
      </c>
    </row>
    <row r="62" spans="1:9" x14ac:dyDescent="0.2">
      <c r="A62" s="20"/>
      <c r="B62" s="4"/>
    </row>
    <row r="63" spans="1:9" x14ac:dyDescent="0.2">
      <c r="A63" s="20"/>
      <c r="B63" s="25" t="s">
        <v>479</v>
      </c>
    </row>
    <row r="64" spans="1:9" x14ac:dyDescent="0.2">
      <c r="A64" s="20"/>
      <c r="B64" s="25" t="s">
        <v>480</v>
      </c>
    </row>
    <row r="65" spans="1:2" x14ac:dyDescent="0.2">
      <c r="A65" s="20"/>
      <c r="B65" s="25" t="s">
        <v>483</v>
      </c>
    </row>
    <row r="66" spans="1:2" x14ac:dyDescent="0.2">
      <c r="A66" s="20"/>
      <c r="B66" s="25" t="s">
        <v>487</v>
      </c>
    </row>
    <row r="67" spans="1:2" x14ac:dyDescent="0.2">
      <c r="A67" s="4"/>
      <c r="B67" s="25" t="s">
        <v>488</v>
      </c>
    </row>
    <row r="68" spans="1:2" x14ac:dyDescent="0.2">
      <c r="A68" s="4"/>
      <c r="B68" s="4"/>
    </row>
    <row r="69" spans="1:2" x14ac:dyDescent="0.2">
      <c r="A69" s="4"/>
      <c r="B69" s="25" t="s">
        <v>474</v>
      </c>
    </row>
    <row r="70" spans="1:2" x14ac:dyDescent="0.2">
      <c r="A70" s="4"/>
      <c r="B70" s="25" t="s">
        <v>475</v>
      </c>
    </row>
    <row r="71" spans="1:2" x14ac:dyDescent="0.2">
      <c r="A71" s="4"/>
      <c r="B71" s="25" t="s">
        <v>490</v>
      </c>
    </row>
    <row r="72" spans="1:2" x14ac:dyDescent="0.2">
      <c r="A72" s="4"/>
      <c r="B72" s="25" t="s">
        <v>489</v>
      </c>
    </row>
    <row r="73" spans="1:2" x14ac:dyDescent="0.2">
      <c r="A73" s="4"/>
      <c r="B73" s="25" t="s">
        <v>491</v>
      </c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64"/>
  <sheetViews>
    <sheetView workbookViewId="0">
      <selection activeCell="C30" sqref="C30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462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2322.0500000000002</v>
      </c>
      <c r="C3" s="51">
        <v>2322.0500000000002</v>
      </c>
      <c r="H3" s="26"/>
    </row>
    <row r="4" spans="1:11" x14ac:dyDescent="0.2">
      <c r="A4" s="26" t="s">
        <v>265</v>
      </c>
      <c r="B4">
        <v>1223.79</v>
      </c>
      <c r="C4">
        <v>1223.79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3545.84</v>
      </c>
      <c r="G8" s="27">
        <f>C9+C10+C11+C12+C13+C14+C15+C16+C17+C18+C19+C20+C21</f>
        <v>2817.63</v>
      </c>
      <c r="H8" s="27">
        <f>F8-G8</f>
        <v>728.21</v>
      </c>
    </row>
    <row r="9" spans="1:11" s="24" customFormat="1" x14ac:dyDescent="0.2">
      <c r="A9" s="20" t="s">
        <v>351</v>
      </c>
      <c r="B9" s="20" t="s">
        <v>396</v>
      </c>
      <c r="C9" s="21">
        <v>209.6</v>
      </c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1590.3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311</v>
      </c>
      <c r="B11" s="20" t="s">
        <v>394</v>
      </c>
      <c r="C11" s="21">
        <v>74.900000000000006</v>
      </c>
      <c r="D11" s="26"/>
      <c r="F11" s="33">
        <f>B3+B4</f>
        <v>3545.84</v>
      </c>
      <c r="G11" s="27">
        <f>C24+C25+C26+C27+C28+C29+C30+C31+C32+C33+C34+C35+C36</f>
        <v>2418.91</v>
      </c>
      <c r="H11" s="27">
        <f>F11-G11</f>
        <v>1126.9300000000003</v>
      </c>
      <c r="I11" s="26"/>
    </row>
    <row r="12" spans="1:11" s="24" customFormat="1" x14ac:dyDescent="0.2">
      <c r="A12" s="20" t="s">
        <v>449</v>
      </c>
      <c r="B12" s="20" t="s">
        <v>403</v>
      </c>
      <c r="C12" s="21">
        <v>152.63999999999999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454</v>
      </c>
      <c r="B13" s="20" t="s">
        <v>403</v>
      </c>
      <c r="C13" s="21">
        <v>78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76</v>
      </c>
      <c r="B14" s="20" t="s">
        <v>402</v>
      </c>
      <c r="C14" s="21">
        <v>14.99</v>
      </c>
      <c r="D14" s="26"/>
      <c r="F14" s="31"/>
      <c r="G14" s="31"/>
      <c r="H14" s="31"/>
    </row>
    <row r="15" spans="1:11" s="24" customFormat="1" x14ac:dyDescent="0.2">
      <c r="A15" s="20" t="s">
        <v>453</v>
      </c>
      <c r="B15" s="20" t="s">
        <v>398</v>
      </c>
      <c r="C15" s="21">
        <v>25</v>
      </c>
      <c r="D15" s="26"/>
      <c r="F15" s="31"/>
      <c r="G15" s="31"/>
      <c r="H15" s="31"/>
    </row>
    <row r="16" spans="1:11" s="24" customFormat="1" x14ac:dyDescent="0.2">
      <c r="A16" s="20" t="s">
        <v>350</v>
      </c>
      <c r="B16" s="20" t="s">
        <v>396</v>
      </c>
      <c r="C16" s="21">
        <v>209.6</v>
      </c>
      <c r="D16" s="26"/>
      <c r="F16" s="31"/>
      <c r="G16" s="31"/>
      <c r="H16" s="31"/>
    </row>
    <row r="17" spans="1:9" s="24" customFormat="1" x14ac:dyDescent="0.2">
      <c r="A17" s="20" t="s">
        <v>437</v>
      </c>
      <c r="B17" s="20" t="s">
        <v>401</v>
      </c>
      <c r="C17" s="21">
        <v>128.05000000000001</v>
      </c>
      <c r="D17" s="26"/>
      <c r="F17" s="31"/>
      <c r="G17" s="31"/>
      <c r="H17" s="31"/>
      <c r="I17" s="26"/>
    </row>
    <row r="18" spans="1:9" s="24" customFormat="1" x14ac:dyDescent="0.2">
      <c r="A18" s="20" t="s">
        <v>442</v>
      </c>
      <c r="B18" s="20" t="s">
        <v>441</v>
      </c>
      <c r="C18" s="21">
        <v>68</v>
      </c>
      <c r="D18" s="26"/>
      <c r="F18" s="31"/>
      <c r="G18" s="31"/>
      <c r="H18" s="31"/>
      <c r="I18" s="26"/>
    </row>
    <row r="19" spans="1:9" s="24" customFormat="1" x14ac:dyDescent="0.2">
      <c r="A19" s="20" t="s">
        <v>301</v>
      </c>
      <c r="B19" s="20" t="s">
        <v>391</v>
      </c>
      <c r="C19" s="55">
        <v>95</v>
      </c>
      <c r="D19" s="26"/>
      <c r="F19" s="31"/>
      <c r="G19" s="31"/>
      <c r="H19" s="31"/>
      <c r="I19" s="26"/>
    </row>
    <row r="20" spans="1:9" s="24" customFormat="1" x14ac:dyDescent="0.2">
      <c r="A20" s="20" t="s">
        <v>321</v>
      </c>
      <c r="B20" s="20" t="s">
        <v>400</v>
      </c>
      <c r="C20" s="21">
        <v>171.55</v>
      </c>
      <c r="D20" s="26"/>
      <c r="F20" s="31"/>
      <c r="G20" s="31"/>
      <c r="H20" s="31"/>
      <c r="I20" s="26"/>
    </row>
    <row r="21" spans="1:9" s="24" customFormat="1" x14ac:dyDescent="0.2">
      <c r="A21" s="25" t="s">
        <v>447</v>
      </c>
      <c r="B21" s="25" t="s">
        <v>448</v>
      </c>
      <c r="C21" s="58"/>
      <c r="D21" s="26"/>
      <c r="F21" s="31"/>
      <c r="G21" s="31"/>
      <c r="H21" s="31"/>
      <c r="I21" s="26"/>
    </row>
    <row r="22" spans="1:9" s="24" customFormat="1" x14ac:dyDescent="0.2">
      <c r="A22" s="29"/>
      <c r="B22" s="29"/>
      <c r="C22" s="30"/>
      <c r="D22" s="26"/>
      <c r="F22" s="31"/>
      <c r="G22" s="31"/>
      <c r="H22" s="31"/>
      <c r="I22" s="26"/>
    </row>
    <row r="23" spans="1:9" s="24" customFormat="1" x14ac:dyDescent="0.2">
      <c r="A23" s="32" t="s">
        <v>13</v>
      </c>
      <c r="B23" s="25"/>
      <c r="C23" s="27"/>
      <c r="D23" s="26"/>
      <c r="F23" s="31"/>
      <c r="G23" s="31"/>
      <c r="H23" s="31"/>
      <c r="I23" s="26"/>
    </row>
    <row r="24" spans="1:9" s="24" customFormat="1" x14ac:dyDescent="0.2">
      <c r="A24" s="20" t="s">
        <v>348</v>
      </c>
      <c r="B24" s="20" t="s">
        <v>396</v>
      </c>
      <c r="C24" s="21">
        <v>209.6</v>
      </c>
      <c r="D24" s="26"/>
      <c r="F24" s="31"/>
      <c r="G24" s="31"/>
      <c r="H24" s="31"/>
      <c r="I24" s="26"/>
    </row>
    <row r="25" spans="1:9" s="24" customFormat="1" x14ac:dyDescent="0.2">
      <c r="A25" s="20" t="s">
        <v>451</v>
      </c>
      <c r="B25" s="20" t="s">
        <v>452</v>
      </c>
      <c r="C25" s="21">
        <v>25</v>
      </c>
      <c r="D25" s="26"/>
      <c r="F25" s="31"/>
      <c r="G25" s="31"/>
      <c r="H25" s="31"/>
      <c r="I25" s="26"/>
    </row>
    <row r="26" spans="1:9" s="24" customFormat="1" x14ac:dyDescent="0.2">
      <c r="A26" s="20" t="s">
        <v>267</v>
      </c>
      <c r="B26" s="20" t="s">
        <v>404</v>
      </c>
      <c r="C26" s="55">
        <v>28.13</v>
      </c>
      <c r="D26" s="26"/>
      <c r="F26" s="31"/>
      <c r="G26" s="31"/>
      <c r="H26" s="31"/>
      <c r="I26" s="26"/>
    </row>
    <row r="27" spans="1:9" s="24" customFormat="1" x14ac:dyDescent="0.2">
      <c r="A27" s="20" t="s">
        <v>438</v>
      </c>
      <c r="B27" s="20" t="s">
        <v>405</v>
      </c>
      <c r="C27" s="21">
        <v>61</v>
      </c>
      <c r="D27" s="26"/>
      <c r="F27" s="31"/>
      <c r="G27" s="31"/>
      <c r="H27" s="31"/>
      <c r="I27" s="26"/>
    </row>
    <row r="28" spans="1:9" s="24" customFormat="1" x14ac:dyDescent="0.2">
      <c r="A28" s="20" t="s">
        <v>79</v>
      </c>
      <c r="B28" s="20" t="s">
        <v>390</v>
      </c>
      <c r="C28" s="21">
        <v>173.63</v>
      </c>
      <c r="D28" s="26"/>
      <c r="F28" s="31"/>
      <c r="G28" s="31"/>
      <c r="H28" s="31"/>
      <c r="I28" s="26"/>
    </row>
    <row r="29" spans="1:9" s="24" customFormat="1" x14ac:dyDescent="0.2">
      <c r="A29" s="20" t="s">
        <v>378</v>
      </c>
      <c r="B29" s="20" t="s">
        <v>393</v>
      </c>
      <c r="C29" s="21">
        <v>216.5</v>
      </c>
      <c r="D29" s="26"/>
      <c r="F29" s="31"/>
      <c r="G29" s="31"/>
      <c r="H29" s="31"/>
      <c r="I29" s="26"/>
    </row>
    <row r="30" spans="1:9" s="24" customFormat="1" x14ac:dyDescent="0.2">
      <c r="A30" s="20" t="s">
        <v>73</v>
      </c>
      <c r="B30" s="20" t="s">
        <v>440</v>
      </c>
      <c r="C30" s="21">
        <v>244.92</v>
      </c>
      <c r="D30" s="26"/>
      <c r="F30" s="31"/>
      <c r="G30" s="31"/>
      <c r="H30" s="31"/>
      <c r="I30" s="26"/>
    </row>
    <row r="31" spans="1:9" s="24" customFormat="1" x14ac:dyDescent="0.2">
      <c r="A31" s="20" t="s">
        <v>302</v>
      </c>
      <c r="B31" s="20" t="s">
        <v>388</v>
      </c>
      <c r="C31" s="21">
        <v>222</v>
      </c>
      <c r="D31" s="26"/>
      <c r="F31" s="26"/>
      <c r="G31" s="26"/>
      <c r="H31" s="26"/>
      <c r="I31" s="26"/>
    </row>
    <row r="32" spans="1:9" s="24" customFormat="1" x14ac:dyDescent="0.2">
      <c r="A32" s="20" t="s">
        <v>60</v>
      </c>
      <c r="B32" s="20" t="s">
        <v>395</v>
      </c>
      <c r="C32" s="21">
        <v>197.29</v>
      </c>
      <c r="D32" s="26"/>
      <c r="F32" s="68" t="s">
        <v>330</v>
      </c>
      <c r="G32" s="26"/>
      <c r="H32" s="26"/>
      <c r="I32" s="26"/>
    </row>
    <row r="33" spans="1:9" s="26" customFormat="1" x14ac:dyDescent="0.2">
      <c r="A33" s="20" t="s">
        <v>460</v>
      </c>
      <c r="B33" s="20" t="s">
        <v>395</v>
      </c>
      <c r="C33" s="21">
        <v>258.24</v>
      </c>
      <c r="F33" s="25">
        <f>(H8+H11)/2</f>
        <v>927.57000000000016</v>
      </c>
    </row>
    <row r="34" spans="1:9" s="26" customFormat="1" x14ac:dyDescent="0.2">
      <c r="A34" s="25" t="s">
        <v>447</v>
      </c>
      <c r="B34" s="25" t="s">
        <v>395</v>
      </c>
      <c r="C34" s="58"/>
    </row>
    <row r="35" spans="1:9" s="24" customFormat="1" x14ac:dyDescent="0.2">
      <c r="A35" s="20" t="s">
        <v>316</v>
      </c>
      <c r="B35" s="20" t="s">
        <v>392</v>
      </c>
      <c r="C35" s="21">
        <v>573</v>
      </c>
      <c r="D35" s="26"/>
      <c r="H35" s="71"/>
    </row>
    <row r="36" spans="1:9" s="24" customFormat="1" x14ac:dyDescent="0.2">
      <c r="A36" s="20" t="s">
        <v>349</v>
      </c>
      <c r="B36" s="20" t="s">
        <v>396</v>
      </c>
      <c r="C36" s="21">
        <v>209.6</v>
      </c>
      <c r="D36" s="26"/>
      <c r="H36" s="71"/>
    </row>
    <row r="37" spans="1:9" s="26" customFormat="1" x14ac:dyDescent="0.2">
      <c r="A37" s="14"/>
      <c r="B37" s="14"/>
      <c r="C37" s="14"/>
    </row>
    <row r="38" spans="1:9" s="26" customFormat="1" x14ac:dyDescent="0.2">
      <c r="A38"/>
      <c r="B38"/>
      <c r="C38"/>
    </row>
    <row r="39" spans="1:9" s="26" customFormat="1" x14ac:dyDescent="0.2">
      <c r="C39"/>
      <c r="I39" s="24"/>
    </row>
    <row r="40" spans="1:9" s="26" customFormat="1" x14ac:dyDescent="0.2">
      <c r="A40"/>
      <c r="B40"/>
      <c r="H40" s="24"/>
      <c r="I40" s="24"/>
    </row>
    <row r="41" spans="1:9" s="24" customFormat="1" x14ac:dyDescent="0.2">
      <c r="A41" s="74" t="s">
        <v>375</v>
      </c>
      <c r="B41"/>
      <c r="C41" s="26"/>
      <c r="D41" s="26"/>
      <c r="F41" s="26"/>
      <c r="G41" s="26"/>
    </row>
    <row r="42" spans="1:9" s="26" customFormat="1" x14ac:dyDescent="0.2">
      <c r="A42" s="4" t="s">
        <v>411</v>
      </c>
      <c r="B42"/>
    </row>
    <row r="43" spans="1:9" s="26" customFormat="1" x14ac:dyDescent="0.2">
      <c r="A43" s="4" t="s">
        <v>412</v>
      </c>
      <c r="B43"/>
    </row>
    <row r="44" spans="1:9" s="26" customFormat="1" x14ac:dyDescent="0.2">
      <c r="A44" s="4" t="s">
        <v>413</v>
      </c>
      <c r="B44"/>
      <c r="C44"/>
    </row>
    <row r="45" spans="1:9" s="24" customFormat="1" x14ac:dyDescent="0.2">
      <c r="A45" s="11" t="s">
        <v>414</v>
      </c>
      <c r="B45"/>
      <c r="C45"/>
      <c r="D45" s="26"/>
      <c r="F45" s="26"/>
      <c r="G45" s="26"/>
      <c r="I45"/>
    </row>
    <row r="46" spans="1:9" s="24" customFormat="1" x14ac:dyDescent="0.2">
      <c r="A46" s="72" t="s">
        <v>415</v>
      </c>
      <c r="B46"/>
      <c r="C46"/>
      <c r="D46" s="26"/>
      <c r="F46" s="26"/>
      <c r="I46"/>
    </row>
    <row r="47" spans="1:9" s="24" customFormat="1" x14ac:dyDescent="0.2">
      <c r="A47" s="72" t="s">
        <v>416</v>
      </c>
      <c r="B47"/>
      <c r="C47"/>
      <c r="D47" s="26"/>
      <c r="F47" s="26"/>
      <c r="G47" s="26"/>
      <c r="I47" s="26"/>
    </row>
    <row r="48" spans="1:9" s="26" customFormat="1" x14ac:dyDescent="0.2">
      <c r="A48" s="72" t="s">
        <v>417</v>
      </c>
      <c r="B48"/>
      <c r="C48"/>
    </row>
    <row r="49" spans="1:9" s="26" customFormat="1" x14ac:dyDescent="0.2">
      <c r="A49" s="72" t="s">
        <v>418</v>
      </c>
      <c r="B49"/>
      <c r="C49"/>
      <c r="I49"/>
    </row>
    <row r="50" spans="1:9" x14ac:dyDescent="0.2">
      <c r="A50" s="72" t="s">
        <v>419</v>
      </c>
      <c r="B50" s="44"/>
      <c r="F50" s="26"/>
      <c r="G50" s="26"/>
    </row>
    <row r="51" spans="1:9" x14ac:dyDescent="0.2">
      <c r="A51" s="25" t="s">
        <v>420</v>
      </c>
      <c r="B51" s="44"/>
      <c r="F51" s="26"/>
      <c r="G51" s="26"/>
    </row>
    <row r="52" spans="1:9" s="26" customFormat="1" x14ac:dyDescent="0.2">
      <c r="A52" s="75" t="s">
        <v>421</v>
      </c>
      <c r="B52" s="44"/>
      <c r="C52"/>
      <c r="I52"/>
    </row>
    <row r="53" spans="1:9" s="26" customFormat="1" x14ac:dyDescent="0.2">
      <c r="A53" s="25" t="s">
        <v>422</v>
      </c>
      <c r="B53" s="44"/>
      <c r="C53"/>
      <c r="F53"/>
      <c r="I53"/>
    </row>
    <row r="54" spans="1:9" x14ac:dyDescent="0.2">
      <c r="A54" s="25" t="s">
        <v>423</v>
      </c>
      <c r="B54" s="44"/>
      <c r="G54" s="26"/>
    </row>
    <row r="55" spans="1:9" x14ac:dyDescent="0.2">
      <c r="A55" s="25" t="s">
        <v>424</v>
      </c>
      <c r="B55" s="26"/>
      <c r="F55" s="26"/>
    </row>
    <row r="56" spans="1:9" x14ac:dyDescent="0.2">
      <c r="A56" s="25" t="s">
        <v>425</v>
      </c>
      <c r="B56" s="26"/>
      <c r="F56" s="26"/>
    </row>
    <row r="57" spans="1:9" x14ac:dyDescent="0.2">
      <c r="A57" s="25" t="s">
        <v>426</v>
      </c>
      <c r="B57" s="26"/>
    </row>
    <row r="58" spans="1:9" x14ac:dyDescent="0.2">
      <c r="A58" s="25" t="s">
        <v>427</v>
      </c>
      <c r="B58" s="26"/>
    </row>
    <row r="59" spans="1:9" x14ac:dyDescent="0.2">
      <c r="A59" s="25" t="s">
        <v>428</v>
      </c>
      <c r="B59" s="26"/>
    </row>
    <row r="60" spans="1:9" x14ac:dyDescent="0.2">
      <c r="A60" s="25" t="s">
        <v>429</v>
      </c>
    </row>
    <row r="61" spans="1:9" x14ac:dyDescent="0.2">
      <c r="A61" s="25" t="s">
        <v>430</v>
      </c>
    </row>
    <row r="62" spans="1:9" x14ac:dyDescent="0.2">
      <c r="A62" s="73" t="s">
        <v>431</v>
      </c>
    </row>
    <row r="63" spans="1:9" x14ac:dyDescent="0.2">
      <c r="A63" s="25" t="s">
        <v>432</v>
      </c>
    </row>
    <row r="64" spans="1:9" x14ac:dyDescent="0.2">
      <c r="A64" s="25" t="s">
        <v>433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64"/>
  <sheetViews>
    <sheetView workbookViewId="0">
      <selection activeCell="A32" sqref="A32:C32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461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2322.0500000000002</v>
      </c>
      <c r="C3" s="51">
        <v>2322.0500000000002</v>
      </c>
      <c r="H3" s="26"/>
    </row>
    <row r="4" spans="1:11" x14ac:dyDescent="0.2">
      <c r="A4" s="26" t="s">
        <v>265</v>
      </c>
      <c r="B4">
        <v>1223.79</v>
      </c>
      <c r="C4">
        <v>1223.79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3545.84</v>
      </c>
      <c r="G8" s="27">
        <f>C9+C10+C11+C12+C13+C14+C15+C16+C17+C18+C19+C20+C21</f>
        <v>2817.63</v>
      </c>
      <c r="H8" s="27">
        <f>F8-G8</f>
        <v>728.21</v>
      </c>
    </row>
    <row r="9" spans="1:11" s="24" customFormat="1" x14ac:dyDescent="0.2">
      <c r="A9" s="20" t="s">
        <v>351</v>
      </c>
      <c r="B9" s="20" t="s">
        <v>396</v>
      </c>
      <c r="C9" s="21">
        <v>209.6</v>
      </c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1590.3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311</v>
      </c>
      <c r="B11" s="20" t="s">
        <v>394</v>
      </c>
      <c r="C11" s="21">
        <v>74.900000000000006</v>
      </c>
      <c r="D11" s="26"/>
      <c r="F11" s="33">
        <f>B3+B4</f>
        <v>3545.84</v>
      </c>
      <c r="G11" s="27">
        <f>C24+C25+C26+C27+C28+C29+C30+C31+C32+C33+C34+C35+C36</f>
        <v>2400.14</v>
      </c>
      <c r="H11" s="27">
        <f>F11-G11</f>
        <v>1145.7000000000003</v>
      </c>
      <c r="I11" s="26"/>
    </row>
    <row r="12" spans="1:11" s="24" customFormat="1" x14ac:dyDescent="0.2">
      <c r="A12" s="20" t="s">
        <v>449</v>
      </c>
      <c r="B12" s="20" t="s">
        <v>403</v>
      </c>
      <c r="C12" s="21">
        <v>152.63999999999999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454</v>
      </c>
      <c r="B13" s="20" t="s">
        <v>403</v>
      </c>
      <c r="C13" s="21">
        <v>78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76</v>
      </c>
      <c r="B14" s="20" t="s">
        <v>402</v>
      </c>
      <c r="C14" s="21">
        <v>14.99</v>
      </c>
      <c r="D14" s="26"/>
      <c r="F14" s="31"/>
      <c r="G14" s="31"/>
      <c r="H14" s="31"/>
    </row>
    <row r="15" spans="1:11" s="24" customFormat="1" x14ac:dyDescent="0.2">
      <c r="A15" s="20" t="s">
        <v>453</v>
      </c>
      <c r="B15" s="20" t="s">
        <v>398</v>
      </c>
      <c r="C15" s="21">
        <v>25</v>
      </c>
      <c r="D15" s="26"/>
      <c r="F15" s="31"/>
      <c r="G15" s="31"/>
      <c r="H15" s="31"/>
    </row>
    <row r="16" spans="1:11" s="24" customFormat="1" x14ac:dyDescent="0.2">
      <c r="A16" s="20" t="s">
        <v>350</v>
      </c>
      <c r="B16" s="20" t="s">
        <v>396</v>
      </c>
      <c r="C16" s="21">
        <v>209.6</v>
      </c>
      <c r="D16" s="26"/>
      <c r="F16" s="31"/>
      <c r="G16" s="31"/>
      <c r="H16" s="31"/>
    </row>
    <row r="17" spans="1:9" s="24" customFormat="1" x14ac:dyDescent="0.2">
      <c r="A17" s="20" t="s">
        <v>437</v>
      </c>
      <c r="B17" s="20" t="s">
        <v>401</v>
      </c>
      <c r="C17" s="21">
        <v>128.05000000000001</v>
      </c>
      <c r="D17" s="26"/>
      <c r="F17" s="31"/>
      <c r="G17" s="31"/>
      <c r="H17" s="31"/>
      <c r="I17" s="26"/>
    </row>
    <row r="18" spans="1:9" s="24" customFormat="1" x14ac:dyDescent="0.2">
      <c r="A18" s="20" t="s">
        <v>442</v>
      </c>
      <c r="B18" s="20" t="s">
        <v>441</v>
      </c>
      <c r="C18" s="21">
        <v>68</v>
      </c>
      <c r="D18" s="26"/>
      <c r="F18" s="31"/>
      <c r="G18" s="31"/>
      <c r="H18" s="31"/>
      <c r="I18" s="26"/>
    </row>
    <row r="19" spans="1:9" s="24" customFormat="1" x14ac:dyDescent="0.2">
      <c r="A19" s="20" t="s">
        <v>301</v>
      </c>
      <c r="B19" s="20" t="s">
        <v>391</v>
      </c>
      <c r="C19" s="55">
        <v>95</v>
      </c>
      <c r="D19" s="26"/>
      <c r="F19" s="31"/>
      <c r="G19" s="31"/>
      <c r="H19" s="31"/>
      <c r="I19" s="26"/>
    </row>
    <row r="20" spans="1:9" s="24" customFormat="1" x14ac:dyDescent="0.2">
      <c r="A20" s="20" t="s">
        <v>321</v>
      </c>
      <c r="B20" s="20" t="s">
        <v>400</v>
      </c>
      <c r="C20" s="21">
        <v>171.55</v>
      </c>
      <c r="D20" s="26"/>
      <c r="F20" s="31"/>
      <c r="G20" s="31"/>
      <c r="H20" s="31"/>
      <c r="I20" s="26"/>
    </row>
    <row r="21" spans="1:9" s="24" customFormat="1" x14ac:dyDescent="0.2">
      <c r="A21" s="25" t="s">
        <v>447</v>
      </c>
      <c r="B21" s="25" t="s">
        <v>448</v>
      </c>
      <c r="C21" s="58"/>
      <c r="D21" s="26"/>
      <c r="F21" s="31"/>
      <c r="G21" s="31"/>
      <c r="H21" s="31"/>
      <c r="I21" s="26"/>
    </row>
    <row r="22" spans="1:9" s="24" customFormat="1" x14ac:dyDescent="0.2">
      <c r="A22" s="29"/>
      <c r="B22" s="29"/>
      <c r="C22" s="30"/>
      <c r="D22" s="26"/>
      <c r="F22" s="31"/>
      <c r="G22" s="31"/>
      <c r="H22" s="31"/>
      <c r="I22" s="26"/>
    </row>
    <row r="23" spans="1:9" s="24" customFormat="1" x14ac:dyDescent="0.2">
      <c r="A23" s="32" t="s">
        <v>13</v>
      </c>
      <c r="B23" s="25"/>
      <c r="C23" s="27"/>
      <c r="D23" s="26"/>
      <c r="F23" s="31"/>
      <c r="G23" s="31"/>
      <c r="H23" s="31"/>
      <c r="I23" s="26"/>
    </row>
    <row r="24" spans="1:9" s="24" customFormat="1" x14ac:dyDescent="0.2">
      <c r="A24" s="20" t="s">
        <v>348</v>
      </c>
      <c r="B24" s="20" t="s">
        <v>396</v>
      </c>
      <c r="C24" s="21">
        <v>209.6</v>
      </c>
      <c r="D24" s="26"/>
      <c r="F24" s="31"/>
      <c r="G24" s="31"/>
      <c r="H24" s="31"/>
      <c r="I24" s="26"/>
    </row>
    <row r="25" spans="1:9" s="24" customFormat="1" x14ac:dyDescent="0.2">
      <c r="A25" s="20" t="s">
        <v>451</v>
      </c>
      <c r="B25" s="20" t="s">
        <v>452</v>
      </c>
      <c r="C25" s="21">
        <v>25</v>
      </c>
      <c r="D25" s="26"/>
      <c r="F25" s="31"/>
      <c r="G25" s="31"/>
      <c r="H25" s="31"/>
      <c r="I25" s="26"/>
    </row>
    <row r="26" spans="1:9" s="24" customFormat="1" x14ac:dyDescent="0.2">
      <c r="A26" s="20" t="s">
        <v>267</v>
      </c>
      <c r="B26" s="20" t="s">
        <v>404</v>
      </c>
      <c r="C26" s="55">
        <v>28.13</v>
      </c>
      <c r="D26" s="26"/>
      <c r="F26" s="31"/>
      <c r="G26" s="31"/>
      <c r="H26" s="31"/>
      <c r="I26" s="26"/>
    </row>
    <row r="27" spans="1:9" s="24" customFormat="1" x14ac:dyDescent="0.2">
      <c r="A27" s="20" t="s">
        <v>438</v>
      </c>
      <c r="B27" s="20" t="s">
        <v>405</v>
      </c>
      <c r="C27" s="21">
        <v>61</v>
      </c>
      <c r="D27" s="26"/>
      <c r="F27" s="31"/>
      <c r="G27" s="31"/>
      <c r="H27" s="31"/>
      <c r="I27" s="26"/>
    </row>
    <row r="28" spans="1:9" s="24" customFormat="1" x14ac:dyDescent="0.2">
      <c r="A28" s="20" t="s">
        <v>79</v>
      </c>
      <c r="B28" s="20" t="s">
        <v>390</v>
      </c>
      <c r="C28" s="21">
        <v>173.63</v>
      </c>
      <c r="D28" s="26"/>
      <c r="F28" s="31"/>
      <c r="G28" s="31"/>
      <c r="H28" s="31"/>
      <c r="I28" s="26"/>
    </row>
    <row r="29" spans="1:9" s="24" customFormat="1" x14ac:dyDescent="0.2">
      <c r="A29" s="20" t="s">
        <v>378</v>
      </c>
      <c r="B29" s="20" t="s">
        <v>393</v>
      </c>
      <c r="C29" s="21">
        <v>216.5</v>
      </c>
      <c r="D29" s="26"/>
      <c r="F29" s="31"/>
      <c r="G29" s="31"/>
      <c r="H29" s="31"/>
      <c r="I29" s="26"/>
    </row>
    <row r="30" spans="1:9" s="24" customFormat="1" x14ac:dyDescent="0.2">
      <c r="A30" s="20" t="s">
        <v>73</v>
      </c>
      <c r="B30" s="20" t="s">
        <v>440</v>
      </c>
      <c r="C30" s="21">
        <v>244.92</v>
      </c>
      <c r="D30" s="26"/>
      <c r="F30" s="31"/>
      <c r="G30" s="31"/>
      <c r="H30" s="31"/>
      <c r="I30" s="26"/>
    </row>
    <row r="31" spans="1:9" s="24" customFormat="1" x14ac:dyDescent="0.2">
      <c r="A31" s="20" t="s">
        <v>302</v>
      </c>
      <c r="B31" s="20" t="s">
        <v>388</v>
      </c>
      <c r="C31" s="21">
        <v>217.07</v>
      </c>
      <c r="D31" s="26"/>
      <c r="F31" s="26"/>
      <c r="G31" s="26"/>
      <c r="H31" s="26"/>
      <c r="I31" s="26"/>
    </row>
    <row r="32" spans="1:9" s="24" customFormat="1" x14ac:dyDescent="0.2">
      <c r="A32" s="20" t="s">
        <v>60</v>
      </c>
      <c r="B32" s="20" t="s">
        <v>395</v>
      </c>
      <c r="C32" s="21">
        <v>188.4</v>
      </c>
      <c r="D32" s="26"/>
      <c r="F32" s="68" t="s">
        <v>330</v>
      </c>
      <c r="G32" s="26"/>
      <c r="H32" s="26"/>
      <c r="I32" s="26"/>
    </row>
    <row r="33" spans="1:9" s="26" customFormat="1" x14ac:dyDescent="0.2">
      <c r="A33" s="20" t="s">
        <v>460</v>
      </c>
      <c r="B33" s="20" t="s">
        <v>395</v>
      </c>
      <c r="C33" s="21">
        <v>253.29</v>
      </c>
      <c r="F33" s="25">
        <f>(H8+H11)/2</f>
        <v>936.95500000000015</v>
      </c>
    </row>
    <row r="34" spans="1:9" s="26" customFormat="1" x14ac:dyDescent="0.2">
      <c r="A34" s="25" t="s">
        <v>447</v>
      </c>
      <c r="B34" s="25" t="s">
        <v>395</v>
      </c>
      <c r="C34" s="58"/>
    </row>
    <row r="35" spans="1:9" s="24" customFormat="1" x14ac:dyDescent="0.2">
      <c r="A35" s="25" t="s">
        <v>316</v>
      </c>
      <c r="B35" s="25" t="s">
        <v>392</v>
      </c>
      <c r="C35" s="27">
        <v>573</v>
      </c>
      <c r="D35" s="26"/>
      <c r="H35" s="71"/>
    </row>
    <row r="36" spans="1:9" s="24" customFormat="1" x14ac:dyDescent="0.2">
      <c r="A36" s="20" t="s">
        <v>349</v>
      </c>
      <c r="B36" s="20" t="s">
        <v>396</v>
      </c>
      <c r="C36" s="21">
        <v>209.6</v>
      </c>
      <c r="D36" s="26"/>
      <c r="H36" s="71"/>
    </row>
    <row r="37" spans="1:9" s="26" customFormat="1" x14ac:dyDescent="0.2">
      <c r="A37" s="14"/>
      <c r="B37" s="14"/>
      <c r="C37" s="14"/>
    </row>
    <row r="38" spans="1:9" s="26" customFormat="1" x14ac:dyDescent="0.2">
      <c r="A38"/>
      <c r="B38"/>
      <c r="C38"/>
    </row>
    <row r="39" spans="1:9" s="26" customFormat="1" x14ac:dyDescent="0.2">
      <c r="C39"/>
      <c r="I39" s="24"/>
    </row>
    <row r="40" spans="1:9" s="26" customFormat="1" x14ac:dyDescent="0.2">
      <c r="A40"/>
      <c r="B40"/>
      <c r="H40" s="24"/>
      <c r="I40" s="24"/>
    </row>
    <row r="41" spans="1:9" s="24" customFormat="1" x14ac:dyDescent="0.2">
      <c r="A41" s="74" t="s">
        <v>375</v>
      </c>
      <c r="B41"/>
      <c r="C41" s="26"/>
      <c r="D41" s="26"/>
      <c r="F41" s="26"/>
      <c r="G41" s="26"/>
    </row>
    <row r="42" spans="1:9" s="26" customFormat="1" x14ac:dyDescent="0.2">
      <c r="A42" s="4" t="s">
        <v>411</v>
      </c>
      <c r="B42"/>
    </row>
    <row r="43" spans="1:9" s="26" customFormat="1" x14ac:dyDescent="0.2">
      <c r="A43" s="4" t="s">
        <v>412</v>
      </c>
      <c r="B43"/>
    </row>
    <row r="44" spans="1:9" s="26" customFormat="1" x14ac:dyDescent="0.2">
      <c r="A44" s="4" t="s">
        <v>413</v>
      </c>
      <c r="B44"/>
      <c r="C44"/>
    </row>
    <row r="45" spans="1:9" s="24" customFormat="1" x14ac:dyDescent="0.2">
      <c r="A45" s="11" t="s">
        <v>414</v>
      </c>
      <c r="B45"/>
      <c r="C45"/>
      <c r="D45" s="26"/>
      <c r="F45" s="26"/>
      <c r="G45" s="26"/>
      <c r="I45"/>
    </row>
    <row r="46" spans="1:9" s="24" customFormat="1" x14ac:dyDescent="0.2">
      <c r="A46" s="72" t="s">
        <v>415</v>
      </c>
      <c r="B46"/>
      <c r="C46"/>
      <c r="D46" s="26"/>
      <c r="F46" s="26"/>
      <c r="I46"/>
    </row>
    <row r="47" spans="1:9" s="24" customFormat="1" x14ac:dyDescent="0.2">
      <c r="A47" s="72" t="s">
        <v>416</v>
      </c>
      <c r="B47"/>
      <c r="C47"/>
      <c r="D47" s="26"/>
      <c r="F47" s="26"/>
      <c r="G47" s="26"/>
      <c r="I47" s="26"/>
    </row>
    <row r="48" spans="1:9" s="26" customFormat="1" x14ac:dyDescent="0.2">
      <c r="A48" s="72" t="s">
        <v>417</v>
      </c>
      <c r="B48"/>
      <c r="C48"/>
    </row>
    <row r="49" spans="1:9" s="26" customFormat="1" x14ac:dyDescent="0.2">
      <c r="A49" s="72" t="s">
        <v>418</v>
      </c>
      <c r="B49"/>
      <c r="C49"/>
      <c r="I49"/>
    </row>
    <row r="50" spans="1:9" x14ac:dyDescent="0.2">
      <c r="A50" s="72" t="s">
        <v>419</v>
      </c>
      <c r="B50" s="44"/>
      <c r="F50" s="26"/>
      <c r="G50" s="26"/>
    </row>
    <row r="51" spans="1:9" x14ac:dyDescent="0.2">
      <c r="A51" s="25" t="s">
        <v>420</v>
      </c>
      <c r="B51" s="44"/>
      <c r="F51" s="26"/>
      <c r="G51" s="26"/>
    </row>
    <row r="52" spans="1:9" s="26" customFormat="1" x14ac:dyDescent="0.2">
      <c r="A52" s="75" t="s">
        <v>421</v>
      </c>
      <c r="B52" s="44"/>
      <c r="C52"/>
      <c r="I52"/>
    </row>
    <row r="53" spans="1:9" s="26" customFormat="1" x14ac:dyDescent="0.2">
      <c r="A53" s="25" t="s">
        <v>422</v>
      </c>
      <c r="B53" s="44"/>
      <c r="C53"/>
      <c r="F53"/>
      <c r="I53"/>
    </row>
    <row r="54" spans="1:9" x14ac:dyDescent="0.2">
      <c r="A54" s="25" t="s">
        <v>423</v>
      </c>
      <c r="B54" s="44"/>
      <c r="G54" s="26"/>
    </row>
    <row r="55" spans="1:9" x14ac:dyDescent="0.2">
      <c r="A55" s="25" t="s">
        <v>424</v>
      </c>
      <c r="B55" s="26"/>
      <c r="F55" s="26"/>
    </row>
    <row r="56" spans="1:9" x14ac:dyDescent="0.2">
      <c r="A56" s="25" t="s">
        <v>425</v>
      </c>
      <c r="B56" s="26"/>
      <c r="F56" s="26"/>
    </row>
    <row r="57" spans="1:9" x14ac:dyDescent="0.2">
      <c r="A57" s="25" t="s">
        <v>426</v>
      </c>
      <c r="B57" s="26"/>
    </row>
    <row r="58" spans="1:9" x14ac:dyDescent="0.2">
      <c r="A58" s="25" t="s">
        <v>427</v>
      </c>
      <c r="B58" s="26"/>
    </row>
    <row r="59" spans="1:9" x14ac:dyDescent="0.2">
      <c r="A59" s="25" t="s">
        <v>428</v>
      </c>
      <c r="B59" s="26"/>
    </row>
    <row r="60" spans="1:9" x14ac:dyDescent="0.2">
      <c r="A60" s="25" t="s">
        <v>429</v>
      </c>
    </row>
    <row r="61" spans="1:9" x14ac:dyDescent="0.2">
      <c r="A61" s="25" t="s">
        <v>430</v>
      </c>
    </row>
    <row r="62" spans="1:9" x14ac:dyDescent="0.2">
      <c r="A62" s="73" t="s">
        <v>431</v>
      </c>
    </row>
    <row r="63" spans="1:9" x14ac:dyDescent="0.2">
      <c r="A63" s="25" t="s">
        <v>432</v>
      </c>
    </row>
    <row r="64" spans="1:9" x14ac:dyDescent="0.2">
      <c r="A64" s="25" t="s">
        <v>433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64"/>
  <sheetViews>
    <sheetView workbookViewId="0">
      <selection activeCell="A35" sqref="A35:C35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458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2322.0500000000002</v>
      </c>
      <c r="C3" s="51">
        <v>2322.0500000000002</v>
      </c>
      <c r="H3" s="26"/>
    </row>
    <row r="4" spans="1:11" x14ac:dyDescent="0.2">
      <c r="A4" s="26" t="s">
        <v>265</v>
      </c>
      <c r="B4">
        <v>1223.79</v>
      </c>
      <c r="C4">
        <v>1223.79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3545.84</v>
      </c>
      <c r="G8" s="27">
        <f>C9+C10+C11+C12+C13+C14+C15+C16+C17+C18+C19+C20+C21</f>
        <v>2817.63</v>
      </c>
      <c r="H8" s="27">
        <f>F8-G8</f>
        <v>728.21</v>
      </c>
    </row>
    <row r="9" spans="1:11" s="24" customFormat="1" x14ac:dyDescent="0.2">
      <c r="A9" s="20" t="s">
        <v>351</v>
      </c>
      <c r="B9" s="20" t="s">
        <v>396</v>
      </c>
      <c r="C9" s="21">
        <v>209.6</v>
      </c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1590.3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311</v>
      </c>
      <c r="B11" s="20" t="s">
        <v>394</v>
      </c>
      <c r="C11" s="21">
        <v>74.900000000000006</v>
      </c>
      <c r="D11" s="26"/>
      <c r="F11" s="33">
        <f>B3+B4</f>
        <v>3545.84</v>
      </c>
      <c r="G11" s="27">
        <f>C24+C25+C26+C27+C28+C29+C30+C31+C32+C33+C34+C35+C36</f>
        <v>2314.81</v>
      </c>
      <c r="H11" s="27">
        <f>F11-G11</f>
        <v>1231.0300000000002</v>
      </c>
      <c r="I11" s="26"/>
    </row>
    <row r="12" spans="1:11" s="24" customFormat="1" x14ac:dyDescent="0.2">
      <c r="A12" s="20" t="s">
        <v>449</v>
      </c>
      <c r="B12" s="20" t="s">
        <v>403</v>
      </c>
      <c r="C12" s="21">
        <v>152.63999999999999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454</v>
      </c>
      <c r="B13" s="20" t="s">
        <v>403</v>
      </c>
      <c r="C13" s="21">
        <v>78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76</v>
      </c>
      <c r="B14" s="20" t="s">
        <v>402</v>
      </c>
      <c r="C14" s="21">
        <v>14.99</v>
      </c>
      <c r="D14" s="26"/>
      <c r="F14" s="31"/>
      <c r="G14" s="31"/>
      <c r="H14" s="31"/>
    </row>
    <row r="15" spans="1:11" s="24" customFormat="1" x14ac:dyDescent="0.2">
      <c r="A15" s="20" t="s">
        <v>453</v>
      </c>
      <c r="B15" s="20" t="s">
        <v>398</v>
      </c>
      <c r="C15" s="21">
        <v>25</v>
      </c>
      <c r="D15" s="26"/>
      <c r="F15" s="31"/>
      <c r="G15" s="31"/>
      <c r="H15" s="31"/>
    </row>
    <row r="16" spans="1:11" s="24" customFormat="1" x14ac:dyDescent="0.2">
      <c r="A16" s="20" t="s">
        <v>350</v>
      </c>
      <c r="B16" s="20" t="s">
        <v>396</v>
      </c>
      <c r="C16" s="21">
        <v>209.6</v>
      </c>
      <c r="D16" s="26"/>
      <c r="F16" s="31"/>
      <c r="G16" s="31"/>
      <c r="H16" s="31"/>
    </row>
    <row r="17" spans="1:9" s="24" customFormat="1" x14ac:dyDescent="0.2">
      <c r="A17" s="20" t="s">
        <v>437</v>
      </c>
      <c r="B17" s="20" t="s">
        <v>401</v>
      </c>
      <c r="C17" s="21">
        <v>128.05000000000001</v>
      </c>
      <c r="D17" s="26"/>
      <c r="F17" s="31"/>
      <c r="G17" s="31"/>
      <c r="H17" s="31"/>
      <c r="I17" s="26"/>
    </row>
    <row r="18" spans="1:9" s="24" customFormat="1" x14ac:dyDescent="0.2">
      <c r="A18" s="20" t="s">
        <v>442</v>
      </c>
      <c r="B18" s="20" t="s">
        <v>441</v>
      </c>
      <c r="C18" s="21">
        <v>68</v>
      </c>
      <c r="D18" s="26"/>
      <c r="F18" s="31"/>
      <c r="G18" s="31"/>
      <c r="H18" s="31"/>
      <c r="I18" s="26"/>
    </row>
    <row r="19" spans="1:9" s="24" customFormat="1" x14ac:dyDescent="0.2">
      <c r="A19" s="20" t="s">
        <v>301</v>
      </c>
      <c r="B19" s="20" t="s">
        <v>391</v>
      </c>
      <c r="C19" s="55">
        <v>95</v>
      </c>
      <c r="D19" s="26"/>
      <c r="F19" s="31"/>
      <c r="G19" s="31"/>
      <c r="H19" s="31"/>
      <c r="I19" s="26"/>
    </row>
    <row r="20" spans="1:9" s="24" customFormat="1" x14ac:dyDescent="0.2">
      <c r="A20" s="20" t="s">
        <v>321</v>
      </c>
      <c r="B20" s="20" t="s">
        <v>400</v>
      </c>
      <c r="C20" s="21">
        <v>171.55</v>
      </c>
      <c r="D20" s="26"/>
      <c r="F20" s="31"/>
      <c r="G20" s="31"/>
      <c r="H20" s="31"/>
      <c r="I20" s="26"/>
    </row>
    <row r="21" spans="1:9" s="24" customFormat="1" x14ac:dyDescent="0.2">
      <c r="A21" s="25" t="s">
        <v>447</v>
      </c>
      <c r="B21" s="25" t="s">
        <v>448</v>
      </c>
      <c r="C21" s="58"/>
      <c r="D21" s="26"/>
      <c r="F21" s="31"/>
      <c r="G21" s="31"/>
      <c r="H21" s="31"/>
      <c r="I21" s="26"/>
    </row>
    <row r="22" spans="1:9" s="24" customFormat="1" x14ac:dyDescent="0.2">
      <c r="A22" s="29"/>
      <c r="B22" s="29"/>
      <c r="C22" s="30"/>
      <c r="D22" s="26"/>
      <c r="F22" s="31"/>
      <c r="G22" s="31"/>
      <c r="H22" s="31"/>
      <c r="I22" s="26"/>
    </row>
    <row r="23" spans="1:9" s="24" customFormat="1" x14ac:dyDescent="0.2">
      <c r="A23" s="32" t="s">
        <v>13</v>
      </c>
      <c r="B23" s="25"/>
      <c r="C23" s="27"/>
      <c r="D23" s="26"/>
      <c r="F23" s="31"/>
      <c r="G23" s="31"/>
      <c r="H23" s="31"/>
      <c r="I23" s="26"/>
    </row>
    <row r="24" spans="1:9" s="24" customFormat="1" x14ac:dyDescent="0.2">
      <c r="A24" s="20" t="s">
        <v>348</v>
      </c>
      <c r="B24" s="20" t="s">
        <v>396</v>
      </c>
      <c r="C24" s="21">
        <v>209.6</v>
      </c>
      <c r="D24" s="26"/>
      <c r="F24" s="31"/>
      <c r="G24" s="31"/>
      <c r="H24" s="31"/>
      <c r="I24" s="26"/>
    </row>
    <row r="25" spans="1:9" s="24" customFormat="1" x14ac:dyDescent="0.2">
      <c r="A25" s="20" t="s">
        <v>451</v>
      </c>
      <c r="B25" s="20" t="s">
        <v>452</v>
      </c>
      <c r="C25" s="21">
        <v>25</v>
      </c>
      <c r="D25" s="26"/>
      <c r="F25" s="31"/>
      <c r="G25" s="31"/>
      <c r="H25" s="31"/>
      <c r="I25" s="26"/>
    </row>
    <row r="26" spans="1:9" s="24" customFormat="1" x14ac:dyDescent="0.2">
      <c r="A26" s="20" t="s">
        <v>267</v>
      </c>
      <c r="B26" s="20" t="s">
        <v>404</v>
      </c>
      <c r="C26" s="55">
        <v>28.13</v>
      </c>
      <c r="D26" s="26"/>
      <c r="F26" s="31"/>
      <c r="G26" s="31"/>
      <c r="H26" s="31"/>
      <c r="I26" s="26"/>
    </row>
    <row r="27" spans="1:9" s="24" customFormat="1" x14ac:dyDescent="0.2">
      <c r="A27" s="20" t="s">
        <v>438</v>
      </c>
      <c r="B27" s="20" t="s">
        <v>405</v>
      </c>
      <c r="C27" s="21">
        <v>61</v>
      </c>
      <c r="D27" s="26"/>
      <c r="F27" s="31"/>
      <c r="G27" s="31"/>
      <c r="H27" s="31"/>
      <c r="I27" s="26"/>
    </row>
    <row r="28" spans="1:9" s="24" customFormat="1" x14ac:dyDescent="0.2">
      <c r="A28" s="20" t="s">
        <v>79</v>
      </c>
      <c r="B28" s="20" t="s">
        <v>390</v>
      </c>
      <c r="C28" s="21">
        <v>144.82</v>
      </c>
      <c r="D28" s="26"/>
      <c r="F28" s="31"/>
      <c r="G28" s="31"/>
      <c r="H28" s="31"/>
      <c r="I28" s="26"/>
    </row>
    <row r="29" spans="1:9" s="24" customFormat="1" x14ac:dyDescent="0.2">
      <c r="A29" s="20" t="s">
        <v>378</v>
      </c>
      <c r="B29" s="20" t="s">
        <v>393</v>
      </c>
      <c r="C29" s="21">
        <v>216.5</v>
      </c>
      <c r="D29" s="26"/>
      <c r="F29" s="31"/>
      <c r="G29" s="31"/>
      <c r="H29" s="31"/>
      <c r="I29" s="26"/>
    </row>
    <row r="30" spans="1:9" s="24" customFormat="1" x14ac:dyDescent="0.2">
      <c r="A30" s="20" t="s">
        <v>73</v>
      </c>
      <c r="B30" s="20" t="s">
        <v>440</v>
      </c>
      <c r="C30" s="21">
        <v>244.92</v>
      </c>
      <c r="D30" s="26"/>
      <c r="F30" s="31"/>
      <c r="G30" s="31"/>
      <c r="H30" s="31"/>
      <c r="I30" s="26"/>
    </row>
    <row r="31" spans="1:9" s="24" customFormat="1" x14ac:dyDescent="0.2">
      <c r="A31" s="20" t="s">
        <v>302</v>
      </c>
      <c r="B31" s="20" t="s">
        <v>388</v>
      </c>
      <c r="C31" s="55">
        <v>213.9</v>
      </c>
      <c r="D31" s="26"/>
      <c r="F31" s="26"/>
      <c r="G31" s="26"/>
      <c r="H31" s="26"/>
      <c r="I31" s="26"/>
    </row>
    <row r="32" spans="1:9" s="24" customFormat="1" x14ac:dyDescent="0.2">
      <c r="A32" s="20" t="s">
        <v>60</v>
      </c>
      <c r="B32" s="20" t="s">
        <v>395</v>
      </c>
      <c r="C32" s="21">
        <v>175.1</v>
      </c>
      <c r="D32" s="26"/>
      <c r="F32" s="68" t="s">
        <v>330</v>
      </c>
      <c r="G32" s="26"/>
      <c r="H32" s="26"/>
      <c r="I32" s="26"/>
    </row>
    <row r="33" spans="1:9" s="26" customFormat="1" x14ac:dyDescent="0.2">
      <c r="A33" s="20" t="s">
        <v>460</v>
      </c>
      <c r="B33" s="20" t="s">
        <v>395</v>
      </c>
      <c r="C33" s="21">
        <v>258.24</v>
      </c>
      <c r="F33" s="25">
        <f>(H8+H11)/2</f>
        <v>979.62000000000012</v>
      </c>
    </row>
    <row r="34" spans="1:9" s="26" customFormat="1" x14ac:dyDescent="0.2">
      <c r="A34" s="25" t="s">
        <v>447</v>
      </c>
      <c r="B34" s="25" t="s">
        <v>395</v>
      </c>
      <c r="C34" s="58"/>
    </row>
    <row r="35" spans="1:9" s="24" customFormat="1" x14ac:dyDescent="0.2">
      <c r="A35" s="20" t="s">
        <v>316</v>
      </c>
      <c r="B35" s="20" t="s">
        <v>392</v>
      </c>
      <c r="C35" s="21">
        <v>528</v>
      </c>
      <c r="D35" s="26"/>
      <c r="H35" s="71"/>
    </row>
    <row r="36" spans="1:9" s="24" customFormat="1" x14ac:dyDescent="0.2">
      <c r="A36" s="20" t="s">
        <v>349</v>
      </c>
      <c r="B36" s="20" t="s">
        <v>396</v>
      </c>
      <c r="C36" s="21">
        <v>209.6</v>
      </c>
      <c r="D36" s="26"/>
      <c r="H36" s="71"/>
    </row>
    <row r="37" spans="1:9" s="26" customFormat="1" x14ac:dyDescent="0.2">
      <c r="A37" s="14"/>
      <c r="B37" s="14"/>
      <c r="C37" s="14"/>
    </row>
    <row r="38" spans="1:9" s="26" customFormat="1" x14ac:dyDescent="0.2">
      <c r="A38"/>
      <c r="B38"/>
      <c r="C38"/>
    </row>
    <row r="39" spans="1:9" s="26" customFormat="1" x14ac:dyDescent="0.2">
      <c r="C39"/>
      <c r="I39" s="24"/>
    </row>
    <row r="40" spans="1:9" s="26" customFormat="1" x14ac:dyDescent="0.2">
      <c r="A40"/>
      <c r="B40"/>
      <c r="H40" s="24"/>
      <c r="I40" s="24"/>
    </row>
    <row r="41" spans="1:9" s="24" customFormat="1" x14ac:dyDescent="0.2">
      <c r="A41" s="74" t="s">
        <v>375</v>
      </c>
      <c r="B41"/>
      <c r="C41" s="26"/>
      <c r="D41" s="26"/>
      <c r="F41" s="26"/>
      <c r="G41" s="26"/>
    </row>
    <row r="42" spans="1:9" s="26" customFormat="1" x14ac:dyDescent="0.2">
      <c r="A42" s="4" t="s">
        <v>411</v>
      </c>
      <c r="B42"/>
    </row>
    <row r="43" spans="1:9" s="26" customFormat="1" x14ac:dyDescent="0.2">
      <c r="A43" s="4" t="s">
        <v>412</v>
      </c>
      <c r="B43"/>
    </row>
    <row r="44" spans="1:9" s="26" customFormat="1" x14ac:dyDescent="0.2">
      <c r="A44" s="4" t="s">
        <v>413</v>
      </c>
      <c r="B44"/>
      <c r="C44"/>
    </row>
    <row r="45" spans="1:9" s="24" customFormat="1" x14ac:dyDescent="0.2">
      <c r="A45" s="11" t="s">
        <v>414</v>
      </c>
      <c r="B45"/>
      <c r="C45"/>
      <c r="D45" s="26"/>
      <c r="F45" s="26"/>
      <c r="G45" s="26"/>
      <c r="I45"/>
    </row>
    <row r="46" spans="1:9" s="24" customFormat="1" x14ac:dyDescent="0.2">
      <c r="A46" s="72" t="s">
        <v>415</v>
      </c>
      <c r="B46"/>
      <c r="C46"/>
      <c r="D46" s="26"/>
      <c r="F46" s="26"/>
      <c r="I46"/>
    </row>
    <row r="47" spans="1:9" s="24" customFormat="1" x14ac:dyDescent="0.2">
      <c r="A47" s="72" t="s">
        <v>416</v>
      </c>
      <c r="B47"/>
      <c r="C47"/>
      <c r="D47" s="26"/>
      <c r="F47" s="26"/>
      <c r="G47" s="26"/>
      <c r="I47" s="26"/>
    </row>
    <row r="48" spans="1:9" s="26" customFormat="1" x14ac:dyDescent="0.2">
      <c r="A48" s="72" t="s">
        <v>417</v>
      </c>
      <c r="B48"/>
      <c r="C48"/>
    </row>
    <row r="49" spans="1:9" s="26" customFormat="1" x14ac:dyDescent="0.2">
      <c r="A49" s="72" t="s">
        <v>418</v>
      </c>
      <c r="B49"/>
      <c r="C49"/>
      <c r="I49"/>
    </row>
    <row r="50" spans="1:9" x14ac:dyDescent="0.2">
      <c r="A50" s="72" t="s">
        <v>419</v>
      </c>
      <c r="B50" s="44"/>
      <c r="F50" s="26"/>
      <c r="G50" s="26"/>
    </row>
    <row r="51" spans="1:9" x14ac:dyDescent="0.2">
      <c r="A51" s="25" t="s">
        <v>420</v>
      </c>
      <c r="B51" s="44"/>
      <c r="F51" s="26"/>
      <c r="G51" s="26"/>
    </row>
    <row r="52" spans="1:9" s="26" customFormat="1" x14ac:dyDescent="0.2">
      <c r="A52" s="75" t="s">
        <v>421</v>
      </c>
      <c r="B52" s="44"/>
      <c r="C52"/>
      <c r="I52"/>
    </row>
    <row r="53" spans="1:9" s="26" customFormat="1" x14ac:dyDescent="0.2">
      <c r="A53" s="25" t="s">
        <v>422</v>
      </c>
      <c r="B53" s="44"/>
      <c r="C53"/>
      <c r="F53"/>
      <c r="I53"/>
    </row>
    <row r="54" spans="1:9" x14ac:dyDescent="0.2">
      <c r="A54" s="25" t="s">
        <v>423</v>
      </c>
      <c r="B54" s="44"/>
      <c r="G54" s="26"/>
    </row>
    <row r="55" spans="1:9" x14ac:dyDescent="0.2">
      <c r="A55" s="25" t="s">
        <v>424</v>
      </c>
      <c r="B55" s="26"/>
      <c r="F55" s="26"/>
    </row>
    <row r="56" spans="1:9" x14ac:dyDescent="0.2">
      <c r="A56" s="25" t="s">
        <v>425</v>
      </c>
      <c r="B56" s="26"/>
      <c r="F56" s="26"/>
    </row>
    <row r="57" spans="1:9" x14ac:dyDescent="0.2">
      <c r="A57" s="25" t="s">
        <v>426</v>
      </c>
      <c r="B57" s="26"/>
    </row>
    <row r="58" spans="1:9" x14ac:dyDescent="0.2">
      <c r="A58" s="25" t="s">
        <v>427</v>
      </c>
      <c r="B58" s="26"/>
    </row>
    <row r="59" spans="1:9" x14ac:dyDescent="0.2">
      <c r="A59" s="25" t="s">
        <v>428</v>
      </c>
      <c r="B59" s="26"/>
    </row>
    <row r="60" spans="1:9" x14ac:dyDescent="0.2">
      <c r="A60" s="25" t="s">
        <v>429</v>
      </c>
    </row>
    <row r="61" spans="1:9" x14ac:dyDescent="0.2">
      <c r="A61" s="25" t="s">
        <v>430</v>
      </c>
    </row>
    <row r="62" spans="1:9" x14ac:dyDescent="0.2">
      <c r="A62" s="73" t="s">
        <v>431</v>
      </c>
    </row>
    <row r="63" spans="1:9" x14ac:dyDescent="0.2">
      <c r="A63" s="25" t="s">
        <v>432</v>
      </c>
    </row>
    <row r="64" spans="1:9" x14ac:dyDescent="0.2">
      <c r="A64" s="25" t="s">
        <v>433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64"/>
  <sheetViews>
    <sheetView topLeftCell="A4" workbookViewId="0">
      <selection activeCell="A35" sqref="A35:C35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457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2383.66</v>
      </c>
      <c r="C3" s="51">
        <v>2383.66</v>
      </c>
      <c r="H3" s="26"/>
    </row>
    <row r="4" spans="1:11" x14ac:dyDescent="0.2">
      <c r="A4" s="26" t="s">
        <v>265</v>
      </c>
      <c r="B4">
        <v>1223.79</v>
      </c>
      <c r="C4">
        <v>1223.79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3607.45</v>
      </c>
      <c r="G8" s="27">
        <f>C9+C10+C11+C12+C13+C14+C15+C16+C17+C18+C19+C20+C21</f>
        <v>2817.63</v>
      </c>
      <c r="H8" s="27">
        <f>F8-G8</f>
        <v>789.81999999999971</v>
      </c>
    </row>
    <row r="9" spans="1:11" s="24" customFormat="1" x14ac:dyDescent="0.2">
      <c r="A9" s="20" t="s">
        <v>351</v>
      </c>
      <c r="B9" s="20" t="s">
        <v>396</v>
      </c>
      <c r="C9" s="21">
        <v>209.6</v>
      </c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1590.3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311</v>
      </c>
      <c r="B11" s="20" t="s">
        <v>394</v>
      </c>
      <c r="C11" s="21">
        <v>74.900000000000006</v>
      </c>
      <c r="D11" s="26"/>
      <c r="F11" s="33">
        <f>B3+B4</f>
        <v>3607.45</v>
      </c>
      <c r="G11" s="27">
        <f>C24+C25+C26+C27+C28+C29+C30+C31+C32+C33+C34+C35+C36</f>
        <v>2308.4199999999996</v>
      </c>
      <c r="H11" s="27">
        <f>F11-G11</f>
        <v>1299.0300000000002</v>
      </c>
      <c r="I11" s="26"/>
    </row>
    <row r="12" spans="1:11" s="24" customFormat="1" x14ac:dyDescent="0.2">
      <c r="A12" s="20" t="s">
        <v>449</v>
      </c>
      <c r="B12" s="20" t="s">
        <v>403</v>
      </c>
      <c r="C12" s="21">
        <v>152.63999999999999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454</v>
      </c>
      <c r="B13" s="20" t="s">
        <v>403</v>
      </c>
      <c r="C13" s="21">
        <v>78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76</v>
      </c>
      <c r="B14" s="20" t="s">
        <v>402</v>
      </c>
      <c r="C14" s="21">
        <v>14.99</v>
      </c>
      <c r="D14" s="26"/>
      <c r="F14" s="31"/>
      <c r="G14" s="31"/>
      <c r="H14" s="31"/>
    </row>
    <row r="15" spans="1:11" s="24" customFormat="1" x14ac:dyDescent="0.2">
      <c r="A15" s="20" t="s">
        <v>453</v>
      </c>
      <c r="B15" s="20" t="s">
        <v>398</v>
      </c>
      <c r="C15" s="21">
        <v>25</v>
      </c>
      <c r="D15" s="26"/>
      <c r="F15" s="31"/>
      <c r="G15" s="31"/>
      <c r="H15" s="31"/>
    </row>
    <row r="16" spans="1:11" s="24" customFormat="1" x14ac:dyDescent="0.2">
      <c r="A16" s="20" t="s">
        <v>350</v>
      </c>
      <c r="B16" s="20" t="s">
        <v>396</v>
      </c>
      <c r="C16" s="21">
        <v>209.6</v>
      </c>
      <c r="D16" s="26"/>
      <c r="F16" s="31"/>
      <c r="G16" s="31"/>
      <c r="H16" s="31"/>
    </row>
    <row r="17" spans="1:9" s="24" customFormat="1" x14ac:dyDescent="0.2">
      <c r="A17" s="20" t="s">
        <v>437</v>
      </c>
      <c r="B17" s="20" t="s">
        <v>401</v>
      </c>
      <c r="C17" s="21">
        <v>128.05000000000001</v>
      </c>
      <c r="D17" s="26"/>
      <c r="F17" s="31"/>
      <c r="G17" s="31"/>
      <c r="H17" s="31"/>
      <c r="I17" s="26"/>
    </row>
    <row r="18" spans="1:9" s="24" customFormat="1" x14ac:dyDescent="0.2">
      <c r="A18" s="20" t="s">
        <v>442</v>
      </c>
      <c r="B18" s="20" t="s">
        <v>441</v>
      </c>
      <c r="C18" s="21">
        <v>68</v>
      </c>
      <c r="D18" s="26"/>
      <c r="F18" s="31"/>
      <c r="G18" s="31"/>
      <c r="H18" s="31"/>
      <c r="I18" s="26"/>
    </row>
    <row r="19" spans="1:9" s="24" customFormat="1" x14ac:dyDescent="0.2">
      <c r="A19" s="20" t="s">
        <v>301</v>
      </c>
      <c r="B19" s="20" t="s">
        <v>391</v>
      </c>
      <c r="C19" s="55">
        <v>95</v>
      </c>
      <c r="D19" s="26"/>
      <c r="F19" s="31"/>
      <c r="G19" s="31"/>
      <c r="H19" s="31"/>
      <c r="I19" s="26"/>
    </row>
    <row r="20" spans="1:9" s="24" customFormat="1" x14ac:dyDescent="0.2">
      <c r="A20" s="20" t="s">
        <v>321</v>
      </c>
      <c r="B20" s="20" t="s">
        <v>400</v>
      </c>
      <c r="C20" s="21">
        <v>171.55</v>
      </c>
      <c r="D20" s="26"/>
      <c r="F20" s="31"/>
      <c r="G20" s="31"/>
      <c r="H20" s="31"/>
      <c r="I20" s="26"/>
    </row>
    <row r="21" spans="1:9" s="24" customFormat="1" x14ac:dyDescent="0.2">
      <c r="A21" s="25" t="s">
        <v>447</v>
      </c>
      <c r="B21" s="25" t="s">
        <v>448</v>
      </c>
      <c r="C21" s="58"/>
      <c r="D21" s="26"/>
      <c r="F21" s="31"/>
      <c r="G21" s="31"/>
      <c r="H21" s="31"/>
      <c r="I21" s="26"/>
    </row>
    <row r="22" spans="1:9" s="24" customFormat="1" x14ac:dyDescent="0.2">
      <c r="A22" s="29"/>
      <c r="B22" s="29"/>
      <c r="C22" s="30"/>
      <c r="D22" s="26"/>
      <c r="F22" s="31"/>
      <c r="G22" s="31"/>
      <c r="H22" s="31"/>
      <c r="I22" s="26"/>
    </row>
    <row r="23" spans="1:9" s="24" customFormat="1" x14ac:dyDescent="0.2">
      <c r="A23" s="32" t="s">
        <v>13</v>
      </c>
      <c r="B23" s="25"/>
      <c r="C23" s="27"/>
      <c r="D23" s="26"/>
      <c r="F23" s="31"/>
      <c r="G23" s="31"/>
      <c r="H23" s="31"/>
      <c r="I23" s="26"/>
    </row>
    <row r="24" spans="1:9" s="24" customFormat="1" x14ac:dyDescent="0.2">
      <c r="A24" s="20" t="s">
        <v>348</v>
      </c>
      <c r="B24" s="20" t="s">
        <v>396</v>
      </c>
      <c r="C24" s="21">
        <v>209.6</v>
      </c>
      <c r="D24" s="26"/>
      <c r="F24" s="31"/>
      <c r="G24" s="31"/>
      <c r="H24" s="31"/>
      <c r="I24" s="26"/>
    </row>
    <row r="25" spans="1:9" s="24" customFormat="1" x14ac:dyDescent="0.2">
      <c r="A25" s="20" t="s">
        <v>451</v>
      </c>
      <c r="B25" s="20" t="s">
        <v>452</v>
      </c>
      <c r="C25" s="21">
        <v>25</v>
      </c>
      <c r="D25" s="26"/>
      <c r="F25" s="31"/>
      <c r="G25" s="31"/>
      <c r="H25" s="31"/>
      <c r="I25" s="26"/>
    </row>
    <row r="26" spans="1:9" s="24" customFormat="1" x14ac:dyDescent="0.2">
      <c r="A26" s="20" t="s">
        <v>267</v>
      </c>
      <c r="B26" s="20" t="s">
        <v>404</v>
      </c>
      <c r="C26" s="55">
        <v>28.13</v>
      </c>
      <c r="D26" s="26"/>
      <c r="F26" s="31"/>
      <c r="G26" s="31"/>
      <c r="H26" s="31"/>
      <c r="I26" s="26"/>
    </row>
    <row r="27" spans="1:9" s="24" customFormat="1" x14ac:dyDescent="0.2">
      <c r="A27" s="20" t="s">
        <v>438</v>
      </c>
      <c r="B27" s="20" t="s">
        <v>405</v>
      </c>
      <c r="C27" s="21">
        <v>61</v>
      </c>
      <c r="D27" s="26"/>
      <c r="F27" s="31"/>
      <c r="G27" s="31"/>
      <c r="H27" s="31"/>
      <c r="I27" s="26"/>
    </row>
    <row r="28" spans="1:9" s="24" customFormat="1" x14ac:dyDescent="0.2">
      <c r="A28" s="20" t="s">
        <v>79</v>
      </c>
      <c r="B28" s="20" t="s">
        <v>390</v>
      </c>
      <c r="C28" s="21">
        <v>144.82</v>
      </c>
      <c r="D28" s="26"/>
      <c r="F28" s="31"/>
      <c r="G28" s="31"/>
      <c r="H28" s="31"/>
      <c r="I28" s="26"/>
    </row>
    <row r="29" spans="1:9" s="24" customFormat="1" x14ac:dyDescent="0.2">
      <c r="A29" s="20" t="s">
        <v>378</v>
      </c>
      <c r="B29" s="20" t="s">
        <v>393</v>
      </c>
      <c r="C29" s="21">
        <v>216.5</v>
      </c>
      <c r="D29" s="26"/>
      <c r="F29" s="31"/>
      <c r="G29" s="31"/>
      <c r="H29" s="31"/>
      <c r="I29" s="26"/>
    </row>
    <row r="30" spans="1:9" s="24" customFormat="1" x14ac:dyDescent="0.2">
      <c r="A30" s="20" t="s">
        <v>73</v>
      </c>
      <c r="B30" s="20" t="s">
        <v>440</v>
      </c>
      <c r="C30" s="21">
        <v>244.92</v>
      </c>
      <c r="D30" s="26"/>
      <c r="F30" s="31"/>
      <c r="G30" s="31"/>
      <c r="H30" s="31"/>
      <c r="I30" s="26"/>
    </row>
    <row r="31" spans="1:9" s="24" customFormat="1" x14ac:dyDescent="0.2">
      <c r="A31" s="25" t="s">
        <v>302</v>
      </c>
      <c r="B31" s="25" t="s">
        <v>388</v>
      </c>
      <c r="C31" s="58">
        <v>212.53</v>
      </c>
      <c r="D31" s="26"/>
      <c r="F31" s="26"/>
      <c r="G31" s="26"/>
      <c r="H31" s="26"/>
      <c r="I31" s="26"/>
    </row>
    <row r="32" spans="1:9" s="24" customFormat="1" x14ac:dyDescent="0.2">
      <c r="A32" s="20" t="s">
        <v>60</v>
      </c>
      <c r="B32" s="20" t="s">
        <v>395</v>
      </c>
      <c r="C32" s="21">
        <v>175.1</v>
      </c>
      <c r="D32" s="26"/>
      <c r="F32" s="68" t="s">
        <v>330</v>
      </c>
      <c r="G32" s="26"/>
      <c r="H32" s="26"/>
      <c r="I32" s="26"/>
    </row>
    <row r="33" spans="1:9" s="26" customFormat="1" x14ac:dyDescent="0.2">
      <c r="A33" s="20" t="s">
        <v>459</v>
      </c>
      <c r="B33" s="20" t="s">
        <v>395</v>
      </c>
      <c r="C33" s="21">
        <v>256.22000000000003</v>
      </c>
      <c r="F33" s="25">
        <f>(H8+H11)/2</f>
        <v>1044.425</v>
      </c>
    </row>
    <row r="34" spans="1:9" s="26" customFormat="1" x14ac:dyDescent="0.2">
      <c r="A34" s="25" t="s">
        <v>447</v>
      </c>
      <c r="B34" s="25" t="s">
        <v>395</v>
      </c>
      <c r="C34" s="58"/>
    </row>
    <row r="35" spans="1:9" s="24" customFormat="1" x14ac:dyDescent="0.2">
      <c r="A35" s="20" t="s">
        <v>316</v>
      </c>
      <c r="B35" s="20" t="s">
        <v>392</v>
      </c>
      <c r="C35" s="21">
        <v>525</v>
      </c>
      <c r="D35" s="26"/>
      <c r="H35" s="71"/>
    </row>
    <row r="36" spans="1:9" s="24" customFormat="1" x14ac:dyDescent="0.2">
      <c r="A36" s="20" t="s">
        <v>349</v>
      </c>
      <c r="B36" s="20" t="s">
        <v>396</v>
      </c>
      <c r="C36" s="21">
        <v>209.6</v>
      </c>
      <c r="D36" s="26"/>
      <c r="H36" s="71"/>
    </row>
    <row r="37" spans="1:9" s="26" customFormat="1" x14ac:dyDescent="0.2">
      <c r="A37" s="14"/>
      <c r="B37" s="14"/>
      <c r="C37" s="14"/>
    </row>
    <row r="38" spans="1:9" s="26" customFormat="1" x14ac:dyDescent="0.2">
      <c r="A38"/>
      <c r="B38"/>
      <c r="C38"/>
    </row>
    <row r="39" spans="1:9" s="26" customFormat="1" x14ac:dyDescent="0.2">
      <c r="C39"/>
      <c r="I39" s="24"/>
    </row>
    <row r="40" spans="1:9" s="26" customFormat="1" x14ac:dyDescent="0.2">
      <c r="A40"/>
      <c r="B40"/>
      <c r="H40" s="24"/>
      <c r="I40" s="24"/>
    </row>
    <row r="41" spans="1:9" s="24" customFormat="1" x14ac:dyDescent="0.2">
      <c r="A41" s="74" t="s">
        <v>375</v>
      </c>
      <c r="B41"/>
      <c r="C41" s="26"/>
      <c r="D41" s="26"/>
      <c r="F41" s="26"/>
      <c r="G41" s="26"/>
    </row>
    <row r="42" spans="1:9" s="26" customFormat="1" x14ac:dyDescent="0.2">
      <c r="A42" s="4" t="s">
        <v>411</v>
      </c>
      <c r="B42"/>
    </row>
    <row r="43" spans="1:9" s="26" customFormat="1" x14ac:dyDescent="0.2">
      <c r="A43" s="4" t="s">
        <v>412</v>
      </c>
      <c r="B43"/>
    </row>
    <row r="44" spans="1:9" s="26" customFormat="1" x14ac:dyDescent="0.2">
      <c r="A44" s="4" t="s">
        <v>413</v>
      </c>
      <c r="B44"/>
      <c r="C44"/>
    </row>
    <row r="45" spans="1:9" s="24" customFormat="1" x14ac:dyDescent="0.2">
      <c r="A45" s="11" t="s">
        <v>414</v>
      </c>
      <c r="B45"/>
      <c r="C45"/>
      <c r="D45" s="26"/>
      <c r="F45" s="26"/>
      <c r="G45" s="26"/>
      <c r="I45"/>
    </row>
    <row r="46" spans="1:9" s="24" customFormat="1" x14ac:dyDescent="0.2">
      <c r="A46" s="72" t="s">
        <v>415</v>
      </c>
      <c r="B46"/>
      <c r="C46"/>
      <c r="D46" s="26"/>
      <c r="F46" s="26"/>
      <c r="I46"/>
    </row>
    <row r="47" spans="1:9" s="24" customFormat="1" x14ac:dyDescent="0.2">
      <c r="A47" s="72" t="s">
        <v>416</v>
      </c>
      <c r="B47"/>
      <c r="C47"/>
      <c r="D47" s="26"/>
      <c r="F47" s="26"/>
      <c r="G47" s="26"/>
      <c r="I47" s="26"/>
    </row>
    <row r="48" spans="1:9" s="26" customFormat="1" x14ac:dyDescent="0.2">
      <c r="A48" s="72" t="s">
        <v>417</v>
      </c>
      <c r="B48"/>
      <c r="C48"/>
    </row>
    <row r="49" spans="1:9" s="26" customFormat="1" x14ac:dyDescent="0.2">
      <c r="A49" s="72" t="s">
        <v>418</v>
      </c>
      <c r="B49"/>
      <c r="C49"/>
      <c r="I49"/>
    </row>
    <row r="50" spans="1:9" x14ac:dyDescent="0.2">
      <c r="A50" s="72" t="s">
        <v>419</v>
      </c>
      <c r="B50" s="44"/>
      <c r="F50" s="26"/>
      <c r="G50" s="26"/>
    </row>
    <row r="51" spans="1:9" x14ac:dyDescent="0.2">
      <c r="A51" s="25" t="s">
        <v>420</v>
      </c>
      <c r="B51" s="44"/>
      <c r="F51" s="26"/>
      <c r="G51" s="26"/>
    </row>
    <row r="52" spans="1:9" s="26" customFormat="1" x14ac:dyDescent="0.2">
      <c r="A52" s="75" t="s">
        <v>421</v>
      </c>
      <c r="B52" s="44"/>
      <c r="C52"/>
      <c r="I52"/>
    </row>
    <row r="53" spans="1:9" s="26" customFormat="1" x14ac:dyDescent="0.2">
      <c r="A53" s="25" t="s">
        <v>422</v>
      </c>
      <c r="B53" s="44"/>
      <c r="C53"/>
      <c r="F53"/>
      <c r="I53"/>
    </row>
    <row r="54" spans="1:9" x14ac:dyDescent="0.2">
      <c r="A54" s="25" t="s">
        <v>423</v>
      </c>
      <c r="B54" s="44"/>
      <c r="G54" s="26"/>
    </row>
    <row r="55" spans="1:9" x14ac:dyDescent="0.2">
      <c r="A55" s="25" t="s">
        <v>424</v>
      </c>
      <c r="B55" s="26"/>
      <c r="F55" s="26"/>
    </row>
    <row r="56" spans="1:9" x14ac:dyDescent="0.2">
      <c r="A56" s="25" t="s">
        <v>425</v>
      </c>
      <c r="B56" s="26"/>
      <c r="F56" s="26"/>
    </row>
    <row r="57" spans="1:9" x14ac:dyDescent="0.2">
      <c r="A57" s="25" t="s">
        <v>426</v>
      </c>
      <c r="B57" s="26"/>
    </row>
    <row r="58" spans="1:9" x14ac:dyDescent="0.2">
      <c r="A58" s="25" t="s">
        <v>427</v>
      </c>
      <c r="B58" s="26"/>
    </row>
    <row r="59" spans="1:9" x14ac:dyDescent="0.2">
      <c r="A59" s="25" t="s">
        <v>428</v>
      </c>
      <c r="B59" s="26"/>
    </row>
    <row r="60" spans="1:9" x14ac:dyDescent="0.2">
      <c r="A60" s="25" t="s">
        <v>429</v>
      </c>
    </row>
    <row r="61" spans="1:9" x14ac:dyDescent="0.2">
      <c r="A61" s="25" t="s">
        <v>430</v>
      </c>
    </row>
    <row r="62" spans="1:9" x14ac:dyDescent="0.2">
      <c r="A62" s="73" t="s">
        <v>431</v>
      </c>
    </row>
    <row r="63" spans="1:9" x14ac:dyDescent="0.2">
      <c r="A63" s="25" t="s">
        <v>432</v>
      </c>
    </row>
    <row r="64" spans="1:9" x14ac:dyDescent="0.2">
      <c r="A64" s="25" t="s">
        <v>433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64"/>
  <sheetViews>
    <sheetView workbookViewId="0">
      <selection activeCell="A25" sqref="A25:C25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455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2383.66</v>
      </c>
      <c r="C3" s="51">
        <v>2383.66</v>
      </c>
      <c r="H3" s="26"/>
    </row>
    <row r="4" spans="1:11" x14ac:dyDescent="0.2">
      <c r="A4" s="26" t="s">
        <v>265</v>
      </c>
      <c r="B4">
        <v>1223.79</v>
      </c>
      <c r="C4">
        <v>1223.79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3607.45</v>
      </c>
      <c r="G8" s="27">
        <f>C9+C10+C11+C12+C13+C14+C15+C16+C17+C18+C19+C20+C21</f>
        <v>2817.63</v>
      </c>
      <c r="H8" s="27">
        <f>F8-G8</f>
        <v>789.81999999999971</v>
      </c>
    </row>
    <row r="9" spans="1:11" s="24" customFormat="1" x14ac:dyDescent="0.2">
      <c r="A9" s="20" t="s">
        <v>351</v>
      </c>
      <c r="B9" s="20" t="s">
        <v>396</v>
      </c>
      <c r="C9" s="21">
        <v>209.6</v>
      </c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1590.3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311</v>
      </c>
      <c r="B11" s="20" t="s">
        <v>394</v>
      </c>
      <c r="C11" s="21">
        <v>74.900000000000006</v>
      </c>
      <c r="D11" s="26"/>
      <c r="F11" s="33">
        <f>B3+B4</f>
        <v>3607.45</v>
      </c>
      <c r="G11" s="27">
        <f>C24+C25+C26+C27+C28+C29+C30+C31+C32+C33+C34+C35+C36</f>
        <v>2308.4200000000005</v>
      </c>
      <c r="H11" s="27">
        <f>F11-G11</f>
        <v>1299.0299999999993</v>
      </c>
      <c r="I11" s="26"/>
    </row>
    <row r="12" spans="1:11" s="24" customFormat="1" x14ac:dyDescent="0.2">
      <c r="A12" s="20" t="s">
        <v>449</v>
      </c>
      <c r="B12" s="20" t="s">
        <v>403</v>
      </c>
      <c r="C12" s="21">
        <v>152.63999999999999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454</v>
      </c>
      <c r="B13" s="20" t="s">
        <v>403</v>
      </c>
      <c r="C13" s="21">
        <v>78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76</v>
      </c>
      <c r="B14" s="20" t="s">
        <v>402</v>
      </c>
      <c r="C14" s="21">
        <v>14.99</v>
      </c>
      <c r="D14" s="26"/>
      <c r="F14" s="31"/>
      <c r="G14" s="31"/>
      <c r="H14" s="31"/>
    </row>
    <row r="15" spans="1:11" s="24" customFormat="1" x14ac:dyDescent="0.2">
      <c r="A15" s="20" t="s">
        <v>453</v>
      </c>
      <c r="B15" s="20" t="s">
        <v>398</v>
      </c>
      <c r="C15" s="21">
        <v>25</v>
      </c>
      <c r="D15" s="26"/>
      <c r="F15" s="31"/>
      <c r="G15" s="31"/>
      <c r="H15" s="31"/>
    </row>
    <row r="16" spans="1:11" s="24" customFormat="1" x14ac:dyDescent="0.2">
      <c r="A16" s="20" t="s">
        <v>350</v>
      </c>
      <c r="B16" s="20" t="s">
        <v>396</v>
      </c>
      <c r="C16" s="21">
        <v>209.6</v>
      </c>
      <c r="D16" s="26"/>
      <c r="F16" s="31"/>
      <c r="G16" s="31"/>
      <c r="H16" s="31"/>
    </row>
    <row r="17" spans="1:9" s="24" customFormat="1" x14ac:dyDescent="0.2">
      <c r="A17" s="20" t="s">
        <v>437</v>
      </c>
      <c r="B17" s="20" t="s">
        <v>401</v>
      </c>
      <c r="C17" s="21">
        <v>128.05000000000001</v>
      </c>
      <c r="D17" s="26"/>
      <c r="F17" s="31"/>
      <c r="G17" s="31"/>
      <c r="H17" s="31"/>
      <c r="I17" s="26"/>
    </row>
    <row r="18" spans="1:9" s="24" customFormat="1" x14ac:dyDescent="0.2">
      <c r="A18" s="20" t="s">
        <v>442</v>
      </c>
      <c r="B18" s="20" t="s">
        <v>441</v>
      </c>
      <c r="C18" s="21">
        <v>68</v>
      </c>
      <c r="D18" s="26"/>
      <c r="F18" s="31"/>
      <c r="G18" s="31"/>
      <c r="H18" s="31"/>
      <c r="I18" s="26"/>
    </row>
    <row r="19" spans="1:9" s="24" customFormat="1" x14ac:dyDescent="0.2">
      <c r="A19" s="20" t="s">
        <v>301</v>
      </c>
      <c r="B19" s="20" t="s">
        <v>391</v>
      </c>
      <c r="C19" s="55">
        <v>95</v>
      </c>
      <c r="D19" s="26"/>
      <c r="F19" s="31"/>
      <c r="G19" s="31"/>
      <c r="H19" s="31"/>
      <c r="I19" s="26"/>
    </row>
    <row r="20" spans="1:9" s="24" customFormat="1" x14ac:dyDescent="0.2">
      <c r="A20" s="20" t="s">
        <v>447</v>
      </c>
      <c r="B20" s="20" t="s">
        <v>448</v>
      </c>
      <c r="C20" s="55"/>
      <c r="D20" s="26"/>
      <c r="F20" s="31"/>
      <c r="G20" s="31"/>
      <c r="H20" s="31"/>
      <c r="I20" s="26"/>
    </row>
    <row r="21" spans="1:9" s="24" customFormat="1" x14ac:dyDescent="0.2">
      <c r="A21" s="20" t="s">
        <v>321</v>
      </c>
      <c r="B21" s="20" t="s">
        <v>400</v>
      </c>
      <c r="C21" s="21">
        <v>171.55</v>
      </c>
      <c r="D21" s="26"/>
      <c r="F21" s="31"/>
      <c r="G21" s="31"/>
      <c r="H21" s="31"/>
      <c r="I21" s="26"/>
    </row>
    <row r="22" spans="1:9" s="24" customFormat="1" x14ac:dyDescent="0.2">
      <c r="A22" s="29"/>
      <c r="B22" s="29"/>
      <c r="C22" s="30"/>
      <c r="D22" s="26"/>
      <c r="F22" s="31"/>
      <c r="G22" s="31"/>
      <c r="H22" s="31"/>
      <c r="I22" s="26"/>
    </row>
    <row r="23" spans="1:9" s="24" customFormat="1" x14ac:dyDescent="0.2">
      <c r="A23" s="32" t="s">
        <v>13</v>
      </c>
      <c r="B23" s="25"/>
      <c r="C23" s="27"/>
      <c r="D23" s="26"/>
      <c r="F23" s="31"/>
      <c r="G23" s="31"/>
      <c r="H23" s="31"/>
      <c r="I23" s="26"/>
    </row>
    <row r="24" spans="1:9" s="24" customFormat="1" x14ac:dyDescent="0.2">
      <c r="A24" s="20" t="s">
        <v>348</v>
      </c>
      <c r="B24" s="20" t="s">
        <v>396</v>
      </c>
      <c r="C24" s="21">
        <v>209.6</v>
      </c>
      <c r="D24" s="26"/>
      <c r="F24" s="31"/>
      <c r="G24" s="31"/>
      <c r="H24" s="31"/>
      <c r="I24" s="26"/>
    </row>
    <row r="25" spans="1:9" s="24" customFormat="1" x14ac:dyDescent="0.2">
      <c r="A25" s="20" t="s">
        <v>316</v>
      </c>
      <c r="B25" s="20" t="s">
        <v>392</v>
      </c>
      <c r="C25" s="21">
        <v>525</v>
      </c>
      <c r="D25" s="26"/>
      <c r="F25" s="31"/>
      <c r="G25" s="31"/>
      <c r="H25" s="31"/>
      <c r="I25" s="26"/>
    </row>
    <row r="26" spans="1:9" s="24" customFormat="1" x14ac:dyDescent="0.2">
      <c r="A26" s="20" t="s">
        <v>378</v>
      </c>
      <c r="B26" s="20" t="s">
        <v>393</v>
      </c>
      <c r="C26" s="21">
        <v>216.5</v>
      </c>
      <c r="D26" s="26"/>
      <c r="F26" s="31"/>
      <c r="G26" s="31"/>
      <c r="H26" s="31"/>
      <c r="I26" s="26"/>
    </row>
    <row r="27" spans="1:9" s="24" customFormat="1" x14ac:dyDescent="0.2">
      <c r="A27" s="20" t="s">
        <v>451</v>
      </c>
      <c r="B27" s="20" t="s">
        <v>452</v>
      </c>
      <c r="C27" s="21">
        <v>25</v>
      </c>
      <c r="D27" s="26"/>
      <c r="F27" s="31"/>
      <c r="G27" s="31"/>
      <c r="H27" s="31"/>
      <c r="I27" s="26"/>
    </row>
    <row r="28" spans="1:9" s="24" customFormat="1" x14ac:dyDescent="0.2">
      <c r="A28" s="20" t="s">
        <v>60</v>
      </c>
      <c r="B28" s="20" t="s">
        <v>395</v>
      </c>
      <c r="C28" s="21">
        <v>175.1</v>
      </c>
      <c r="D28" s="26"/>
      <c r="F28" s="31"/>
      <c r="G28" s="31"/>
      <c r="H28" s="31"/>
      <c r="I28" s="26"/>
    </row>
    <row r="29" spans="1:9" s="24" customFormat="1" x14ac:dyDescent="0.2">
      <c r="A29" s="20" t="s">
        <v>349</v>
      </c>
      <c r="B29" s="20" t="s">
        <v>396</v>
      </c>
      <c r="C29" s="21">
        <v>209.6</v>
      </c>
      <c r="D29" s="26"/>
      <c r="F29" s="26"/>
      <c r="G29" s="26"/>
      <c r="H29" s="26"/>
      <c r="I29" s="26"/>
    </row>
    <row r="30" spans="1:9" s="24" customFormat="1" x14ac:dyDescent="0.2">
      <c r="A30" s="20" t="s">
        <v>73</v>
      </c>
      <c r="B30" s="20" t="s">
        <v>440</v>
      </c>
      <c r="C30" s="21">
        <v>244.92</v>
      </c>
      <c r="D30" s="26"/>
      <c r="F30" s="68" t="s">
        <v>330</v>
      </c>
      <c r="G30" s="26"/>
      <c r="H30" s="26"/>
      <c r="I30" s="26"/>
    </row>
    <row r="31" spans="1:9" s="26" customFormat="1" x14ac:dyDescent="0.2">
      <c r="A31" s="20" t="s">
        <v>79</v>
      </c>
      <c r="B31" s="20" t="s">
        <v>390</v>
      </c>
      <c r="C31" s="21">
        <v>144.82</v>
      </c>
      <c r="F31" s="25">
        <f>(H8+H11)/2</f>
        <v>1044.4249999999995</v>
      </c>
    </row>
    <row r="32" spans="1:9" s="26" customFormat="1" x14ac:dyDescent="0.2">
      <c r="A32" s="20" t="s">
        <v>456</v>
      </c>
      <c r="B32" s="20" t="s">
        <v>395</v>
      </c>
      <c r="C32" s="21">
        <v>256.22000000000003</v>
      </c>
    </row>
    <row r="33" spans="1:9" s="24" customFormat="1" x14ac:dyDescent="0.2">
      <c r="A33" s="20" t="s">
        <v>267</v>
      </c>
      <c r="B33" s="20" t="s">
        <v>404</v>
      </c>
      <c r="C33" s="55">
        <v>28.13</v>
      </c>
      <c r="D33" s="26"/>
      <c r="H33" s="71"/>
    </row>
    <row r="34" spans="1:9" s="24" customFormat="1" x14ac:dyDescent="0.2">
      <c r="A34" s="20" t="s">
        <v>447</v>
      </c>
      <c r="B34" s="20" t="s">
        <v>395</v>
      </c>
      <c r="C34" s="55"/>
      <c r="D34" s="26"/>
      <c r="H34" s="71"/>
    </row>
    <row r="35" spans="1:9" s="24" customFormat="1" x14ac:dyDescent="0.2">
      <c r="A35" s="20" t="s">
        <v>438</v>
      </c>
      <c r="B35" s="20" t="s">
        <v>405</v>
      </c>
      <c r="C35" s="21">
        <v>61</v>
      </c>
      <c r="D35" s="26"/>
    </row>
    <row r="36" spans="1:9" s="26" customFormat="1" x14ac:dyDescent="0.2">
      <c r="A36" s="20" t="s">
        <v>302</v>
      </c>
      <c r="B36" s="20" t="s">
        <v>388</v>
      </c>
      <c r="C36" s="55">
        <v>212.53</v>
      </c>
    </row>
    <row r="37" spans="1:9" s="26" customFormat="1" x14ac:dyDescent="0.2">
      <c r="A37" s="14"/>
      <c r="B37" s="14"/>
      <c r="C37" s="14"/>
    </row>
    <row r="38" spans="1:9" s="26" customFormat="1" x14ac:dyDescent="0.2">
      <c r="A38"/>
      <c r="B38"/>
      <c r="C38"/>
    </row>
    <row r="39" spans="1:9" s="26" customFormat="1" x14ac:dyDescent="0.2">
      <c r="C39"/>
      <c r="I39" s="24"/>
    </row>
    <row r="40" spans="1:9" s="26" customFormat="1" x14ac:dyDescent="0.2">
      <c r="A40"/>
      <c r="B40"/>
      <c r="H40" s="24"/>
      <c r="I40" s="24"/>
    </row>
    <row r="41" spans="1:9" s="24" customFormat="1" x14ac:dyDescent="0.2">
      <c r="A41" s="74" t="s">
        <v>375</v>
      </c>
      <c r="B41"/>
      <c r="C41" s="26"/>
      <c r="D41" s="26"/>
      <c r="F41" s="26"/>
      <c r="G41" s="26"/>
    </row>
    <row r="42" spans="1:9" s="26" customFormat="1" x14ac:dyDescent="0.2">
      <c r="A42" s="4" t="s">
        <v>411</v>
      </c>
      <c r="B42"/>
    </row>
    <row r="43" spans="1:9" s="26" customFormat="1" x14ac:dyDescent="0.2">
      <c r="A43" s="4" t="s">
        <v>412</v>
      </c>
      <c r="B43"/>
    </row>
    <row r="44" spans="1:9" s="26" customFormat="1" x14ac:dyDescent="0.2">
      <c r="A44" s="4" t="s">
        <v>413</v>
      </c>
      <c r="B44"/>
      <c r="C44"/>
    </row>
    <row r="45" spans="1:9" s="24" customFormat="1" x14ac:dyDescent="0.2">
      <c r="A45" s="11" t="s">
        <v>414</v>
      </c>
      <c r="B45"/>
      <c r="C45"/>
      <c r="D45" s="26"/>
      <c r="F45" s="26"/>
      <c r="G45" s="26"/>
      <c r="I45"/>
    </row>
    <row r="46" spans="1:9" s="24" customFormat="1" x14ac:dyDescent="0.2">
      <c r="A46" s="72" t="s">
        <v>415</v>
      </c>
      <c r="B46"/>
      <c r="C46"/>
      <c r="D46" s="26"/>
      <c r="F46" s="26"/>
      <c r="I46"/>
    </row>
    <row r="47" spans="1:9" s="24" customFormat="1" x14ac:dyDescent="0.2">
      <c r="A47" s="72" t="s">
        <v>416</v>
      </c>
      <c r="B47"/>
      <c r="C47"/>
      <c r="D47" s="26"/>
      <c r="F47" s="26"/>
      <c r="G47" s="26"/>
      <c r="I47" s="26"/>
    </row>
    <row r="48" spans="1:9" s="26" customFormat="1" x14ac:dyDescent="0.2">
      <c r="A48" s="72" t="s">
        <v>417</v>
      </c>
      <c r="B48"/>
      <c r="C48"/>
    </row>
    <row r="49" spans="1:9" s="26" customFormat="1" x14ac:dyDescent="0.2">
      <c r="A49" s="72" t="s">
        <v>418</v>
      </c>
      <c r="B49"/>
      <c r="C49"/>
      <c r="I49"/>
    </row>
    <row r="50" spans="1:9" x14ac:dyDescent="0.2">
      <c r="A50" s="72" t="s">
        <v>419</v>
      </c>
      <c r="B50" s="44"/>
      <c r="F50" s="26"/>
      <c r="G50" s="26"/>
    </row>
    <row r="51" spans="1:9" x14ac:dyDescent="0.2">
      <c r="A51" s="25" t="s">
        <v>420</v>
      </c>
      <c r="B51" s="44"/>
      <c r="F51" s="26"/>
      <c r="G51" s="26"/>
    </row>
    <row r="52" spans="1:9" s="26" customFormat="1" x14ac:dyDescent="0.2">
      <c r="A52" s="75" t="s">
        <v>421</v>
      </c>
      <c r="B52" s="44"/>
      <c r="C52"/>
      <c r="I52"/>
    </row>
    <row r="53" spans="1:9" s="26" customFormat="1" x14ac:dyDescent="0.2">
      <c r="A53" s="25" t="s">
        <v>422</v>
      </c>
      <c r="B53" s="44"/>
      <c r="C53"/>
      <c r="F53"/>
      <c r="I53"/>
    </row>
    <row r="54" spans="1:9" x14ac:dyDescent="0.2">
      <c r="A54" s="25" t="s">
        <v>423</v>
      </c>
      <c r="B54" s="44"/>
      <c r="G54" s="26"/>
    </row>
    <row r="55" spans="1:9" x14ac:dyDescent="0.2">
      <c r="A55" s="25" t="s">
        <v>424</v>
      </c>
      <c r="B55" s="26"/>
      <c r="F55" s="26"/>
    </row>
    <row r="56" spans="1:9" x14ac:dyDescent="0.2">
      <c r="A56" s="25" t="s">
        <v>425</v>
      </c>
      <c r="B56" s="26"/>
      <c r="F56" s="26"/>
    </row>
    <row r="57" spans="1:9" x14ac:dyDescent="0.2">
      <c r="A57" s="25" t="s">
        <v>426</v>
      </c>
      <c r="B57" s="26"/>
    </row>
    <row r="58" spans="1:9" x14ac:dyDescent="0.2">
      <c r="A58" s="25" t="s">
        <v>427</v>
      </c>
      <c r="B58" s="26"/>
    </row>
    <row r="59" spans="1:9" x14ac:dyDescent="0.2">
      <c r="A59" s="25" t="s">
        <v>428</v>
      </c>
      <c r="B59" s="26"/>
    </row>
    <row r="60" spans="1:9" x14ac:dyDescent="0.2">
      <c r="A60" s="25" t="s">
        <v>429</v>
      </c>
    </row>
    <row r="61" spans="1:9" x14ac:dyDescent="0.2">
      <c r="A61" s="25" t="s">
        <v>430</v>
      </c>
    </row>
    <row r="62" spans="1:9" x14ac:dyDescent="0.2">
      <c r="A62" s="73" t="s">
        <v>431</v>
      </c>
    </row>
    <row r="63" spans="1:9" x14ac:dyDescent="0.2">
      <c r="A63" s="25" t="s">
        <v>432</v>
      </c>
    </row>
    <row r="64" spans="1:9" x14ac:dyDescent="0.2">
      <c r="A64" s="25" t="s">
        <v>433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64"/>
  <sheetViews>
    <sheetView workbookViewId="0">
      <selection activeCell="B3" sqref="B3:B4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450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2383.66</v>
      </c>
      <c r="C3" s="51">
        <v>2383.66</v>
      </c>
      <c r="H3" s="26"/>
    </row>
    <row r="4" spans="1:11" x14ac:dyDescent="0.2">
      <c r="A4" s="26" t="s">
        <v>265</v>
      </c>
      <c r="B4">
        <v>1223.79</v>
      </c>
      <c r="C4">
        <v>1223.79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3607.45</v>
      </c>
      <c r="G8" s="27">
        <f>C9+C10+C11+C12+C13+C14+C15+C16+C17+C18+C19+C20+C21</f>
        <v>2778.5</v>
      </c>
      <c r="H8" s="27">
        <f>F8-G8</f>
        <v>828.94999999999982</v>
      </c>
    </row>
    <row r="9" spans="1:11" s="24" customFormat="1" x14ac:dyDescent="0.2">
      <c r="A9" s="20" t="s">
        <v>351</v>
      </c>
      <c r="B9" s="20" t="s">
        <v>396</v>
      </c>
      <c r="C9" s="21">
        <v>209.6</v>
      </c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1551.17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311</v>
      </c>
      <c r="B11" s="20" t="s">
        <v>394</v>
      </c>
      <c r="C11" s="21">
        <v>74.900000000000006</v>
      </c>
      <c r="D11" s="26"/>
      <c r="F11" s="33">
        <f>B3+B4</f>
        <v>3607.45</v>
      </c>
      <c r="G11" s="27">
        <f>C24+C25+C26+C27+C28+C29+C30+C31+C32+C33+C34+C35+C36</f>
        <v>2375.96</v>
      </c>
      <c r="H11" s="27">
        <f>F11-G11</f>
        <v>1231.4899999999998</v>
      </c>
      <c r="I11" s="26"/>
    </row>
    <row r="12" spans="1:11" s="24" customFormat="1" x14ac:dyDescent="0.2">
      <c r="A12" s="20" t="s">
        <v>449</v>
      </c>
      <c r="B12" s="20" t="s">
        <v>403</v>
      </c>
      <c r="C12" s="21">
        <v>152.63999999999999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454</v>
      </c>
      <c r="B13" s="20" t="s">
        <v>403</v>
      </c>
      <c r="C13" s="21">
        <v>78</v>
      </c>
      <c r="D13" s="26"/>
      <c r="F13" s="31"/>
      <c r="G13" s="31"/>
      <c r="H13" s="31"/>
      <c r="I13" s="26"/>
      <c r="J13" s="26"/>
      <c r="K13" s="26"/>
    </row>
    <row r="14" spans="1:11" s="24" customFormat="1" x14ac:dyDescent="0.2">
      <c r="A14" s="20" t="s">
        <v>76</v>
      </c>
      <c r="B14" s="20" t="s">
        <v>402</v>
      </c>
      <c r="C14" s="21">
        <v>14.99</v>
      </c>
      <c r="D14" s="26"/>
      <c r="F14" s="31"/>
      <c r="G14" s="31"/>
      <c r="H14" s="31"/>
    </row>
    <row r="15" spans="1:11" s="24" customFormat="1" x14ac:dyDescent="0.2">
      <c r="A15" s="20" t="s">
        <v>453</v>
      </c>
      <c r="B15" s="20" t="s">
        <v>398</v>
      </c>
      <c r="C15" s="21">
        <v>25</v>
      </c>
      <c r="D15" s="26"/>
      <c r="F15" s="31"/>
      <c r="G15" s="31"/>
      <c r="H15" s="31"/>
    </row>
    <row r="16" spans="1:11" s="24" customFormat="1" x14ac:dyDescent="0.2">
      <c r="A16" s="20" t="s">
        <v>350</v>
      </c>
      <c r="B16" s="20" t="s">
        <v>396</v>
      </c>
      <c r="C16" s="21">
        <v>209.6</v>
      </c>
      <c r="D16" s="26"/>
      <c r="F16" s="31"/>
      <c r="G16" s="31"/>
      <c r="H16" s="31"/>
    </row>
    <row r="17" spans="1:9" s="24" customFormat="1" x14ac:dyDescent="0.2">
      <c r="A17" s="20" t="s">
        <v>437</v>
      </c>
      <c r="B17" s="20" t="s">
        <v>401</v>
      </c>
      <c r="C17" s="21">
        <v>128.05000000000001</v>
      </c>
      <c r="D17" s="26"/>
      <c r="F17" s="31"/>
      <c r="G17" s="31"/>
      <c r="H17" s="31"/>
      <c r="I17" s="26"/>
    </row>
    <row r="18" spans="1:9" s="24" customFormat="1" x14ac:dyDescent="0.2">
      <c r="A18" s="20" t="s">
        <v>442</v>
      </c>
      <c r="B18" s="20" t="s">
        <v>441</v>
      </c>
      <c r="C18" s="21">
        <v>68</v>
      </c>
      <c r="D18" s="26"/>
      <c r="F18" s="31"/>
      <c r="G18" s="31"/>
      <c r="H18" s="31"/>
      <c r="I18" s="26"/>
    </row>
    <row r="19" spans="1:9" s="24" customFormat="1" x14ac:dyDescent="0.2">
      <c r="A19" s="20" t="s">
        <v>301</v>
      </c>
      <c r="B19" s="20" t="s">
        <v>391</v>
      </c>
      <c r="C19" s="55">
        <v>95</v>
      </c>
      <c r="D19" s="26"/>
      <c r="F19" s="31"/>
      <c r="G19" s="31"/>
      <c r="H19" s="31"/>
      <c r="I19" s="26"/>
    </row>
    <row r="20" spans="1:9" s="24" customFormat="1" x14ac:dyDescent="0.2">
      <c r="A20" s="25" t="s">
        <v>447</v>
      </c>
      <c r="B20" s="25" t="s">
        <v>448</v>
      </c>
      <c r="C20" s="58"/>
      <c r="D20" s="26"/>
      <c r="F20" s="31"/>
      <c r="G20" s="31"/>
      <c r="H20" s="31"/>
      <c r="I20" s="26"/>
    </row>
    <row r="21" spans="1:9" s="24" customFormat="1" x14ac:dyDescent="0.2">
      <c r="A21" s="20" t="s">
        <v>321</v>
      </c>
      <c r="B21" s="20" t="s">
        <v>400</v>
      </c>
      <c r="C21" s="21">
        <v>171.55</v>
      </c>
      <c r="D21" s="26"/>
      <c r="F21" s="31"/>
      <c r="G21" s="31"/>
      <c r="H21" s="31"/>
      <c r="I21" s="26"/>
    </row>
    <row r="22" spans="1:9" s="24" customFormat="1" x14ac:dyDescent="0.2">
      <c r="A22" s="29"/>
      <c r="B22" s="29"/>
      <c r="C22" s="30"/>
      <c r="D22" s="26"/>
      <c r="F22" s="31"/>
      <c r="G22" s="31"/>
      <c r="H22" s="31"/>
      <c r="I22" s="26"/>
    </row>
    <row r="23" spans="1:9" s="24" customFormat="1" x14ac:dyDescent="0.2">
      <c r="A23" s="32" t="s">
        <v>13</v>
      </c>
      <c r="B23" s="25"/>
      <c r="C23" s="27"/>
      <c r="D23" s="26"/>
      <c r="F23" s="31"/>
      <c r="G23" s="31"/>
      <c r="H23" s="31"/>
      <c r="I23" s="26"/>
    </row>
    <row r="24" spans="1:9" s="24" customFormat="1" x14ac:dyDescent="0.2">
      <c r="A24" s="20" t="s">
        <v>348</v>
      </c>
      <c r="B24" s="20" t="s">
        <v>396</v>
      </c>
      <c r="C24" s="21">
        <v>209.6</v>
      </c>
      <c r="D24" s="26"/>
      <c r="F24" s="31"/>
      <c r="G24" s="31"/>
      <c r="H24" s="31"/>
      <c r="I24" s="26"/>
    </row>
    <row r="25" spans="1:9" s="24" customFormat="1" x14ac:dyDescent="0.2">
      <c r="A25" s="20" t="s">
        <v>316</v>
      </c>
      <c r="B25" s="20" t="s">
        <v>392</v>
      </c>
      <c r="C25" s="21">
        <v>525</v>
      </c>
      <c r="D25" s="26"/>
      <c r="F25" s="31"/>
      <c r="G25" s="31"/>
      <c r="H25" s="31"/>
      <c r="I25" s="26"/>
    </row>
    <row r="26" spans="1:9" s="24" customFormat="1" x14ac:dyDescent="0.2">
      <c r="A26" s="20" t="s">
        <v>378</v>
      </c>
      <c r="B26" s="20" t="s">
        <v>393</v>
      </c>
      <c r="C26" s="21">
        <v>216.5</v>
      </c>
      <c r="D26" s="26"/>
      <c r="F26" s="31"/>
      <c r="G26" s="31"/>
      <c r="H26" s="31"/>
      <c r="I26" s="26"/>
    </row>
    <row r="27" spans="1:9" s="24" customFormat="1" x14ac:dyDescent="0.2">
      <c r="A27" s="20" t="s">
        <v>451</v>
      </c>
      <c r="B27" s="20" t="s">
        <v>452</v>
      </c>
      <c r="C27" s="21">
        <v>25</v>
      </c>
      <c r="D27" s="26"/>
      <c r="F27" s="31"/>
      <c r="G27" s="31"/>
      <c r="H27" s="31"/>
      <c r="I27" s="26"/>
    </row>
    <row r="28" spans="1:9" s="24" customFormat="1" x14ac:dyDescent="0.2">
      <c r="A28" s="20" t="s">
        <v>60</v>
      </c>
      <c r="B28" s="20" t="s">
        <v>395</v>
      </c>
      <c r="C28" s="21">
        <v>175.1</v>
      </c>
      <c r="D28" s="26"/>
      <c r="F28" s="31"/>
      <c r="G28" s="31"/>
      <c r="H28" s="31"/>
      <c r="I28" s="26"/>
    </row>
    <row r="29" spans="1:9" s="24" customFormat="1" x14ac:dyDescent="0.2">
      <c r="A29" s="20" t="s">
        <v>349</v>
      </c>
      <c r="B29" s="20" t="s">
        <v>396</v>
      </c>
      <c r="C29" s="21">
        <v>209.6</v>
      </c>
      <c r="D29" s="26"/>
      <c r="F29" s="26"/>
      <c r="G29" s="26"/>
      <c r="H29" s="26"/>
      <c r="I29" s="26"/>
    </row>
    <row r="30" spans="1:9" s="24" customFormat="1" x14ac:dyDescent="0.2">
      <c r="A30" s="20" t="s">
        <v>73</v>
      </c>
      <c r="B30" s="20" t="s">
        <v>440</v>
      </c>
      <c r="C30" s="21">
        <v>311.55</v>
      </c>
      <c r="D30" s="26"/>
      <c r="F30" s="68" t="s">
        <v>330</v>
      </c>
      <c r="G30" s="26"/>
      <c r="H30" s="26"/>
      <c r="I30" s="26"/>
    </row>
    <row r="31" spans="1:9" s="26" customFormat="1" x14ac:dyDescent="0.2">
      <c r="A31" s="20" t="s">
        <v>79</v>
      </c>
      <c r="B31" s="20" t="s">
        <v>390</v>
      </c>
      <c r="C31" s="21">
        <v>144.82</v>
      </c>
      <c r="F31" s="25">
        <f>(H8+H11)/2</f>
        <v>1030.2199999999998</v>
      </c>
    </row>
    <row r="32" spans="1:9" s="26" customFormat="1" x14ac:dyDescent="0.2">
      <c r="A32" s="20" t="s">
        <v>75</v>
      </c>
      <c r="B32" s="20" t="s">
        <v>395</v>
      </c>
      <c r="C32" s="21">
        <v>256.22000000000003</v>
      </c>
    </row>
    <row r="33" spans="1:9" s="24" customFormat="1" x14ac:dyDescent="0.2">
      <c r="A33" s="20" t="s">
        <v>267</v>
      </c>
      <c r="B33" s="20" t="s">
        <v>404</v>
      </c>
      <c r="C33" s="55">
        <v>28.13</v>
      </c>
      <c r="D33" s="26"/>
      <c r="H33" s="71"/>
    </row>
    <row r="34" spans="1:9" s="24" customFormat="1" x14ac:dyDescent="0.2">
      <c r="A34" s="25" t="s">
        <v>447</v>
      </c>
      <c r="B34" s="25" t="s">
        <v>395</v>
      </c>
      <c r="C34" s="58"/>
      <c r="D34" s="26"/>
      <c r="H34" s="71"/>
    </row>
    <row r="35" spans="1:9" s="24" customFormat="1" x14ac:dyDescent="0.2">
      <c r="A35" s="20" t="s">
        <v>438</v>
      </c>
      <c r="B35" s="20" t="s">
        <v>405</v>
      </c>
      <c r="C35" s="21">
        <v>61</v>
      </c>
      <c r="D35" s="26"/>
    </row>
    <row r="36" spans="1:9" s="26" customFormat="1" x14ac:dyDescent="0.2">
      <c r="A36" s="20" t="s">
        <v>302</v>
      </c>
      <c r="B36" s="20" t="s">
        <v>388</v>
      </c>
      <c r="C36" s="55">
        <v>213.44</v>
      </c>
    </row>
    <row r="37" spans="1:9" s="26" customFormat="1" x14ac:dyDescent="0.2">
      <c r="A37" s="14"/>
      <c r="B37" s="14"/>
      <c r="C37" s="14"/>
    </row>
    <row r="38" spans="1:9" s="26" customFormat="1" x14ac:dyDescent="0.2">
      <c r="A38"/>
      <c r="B38"/>
      <c r="C38"/>
    </row>
    <row r="39" spans="1:9" s="26" customFormat="1" x14ac:dyDescent="0.2">
      <c r="C39"/>
      <c r="I39" s="24"/>
    </row>
    <row r="40" spans="1:9" s="26" customFormat="1" x14ac:dyDescent="0.2">
      <c r="A40"/>
      <c r="B40"/>
      <c r="H40" s="24"/>
      <c r="I40" s="24"/>
    </row>
    <row r="41" spans="1:9" s="24" customFormat="1" x14ac:dyDescent="0.2">
      <c r="A41" s="74" t="s">
        <v>375</v>
      </c>
      <c r="B41"/>
      <c r="C41" s="26"/>
      <c r="D41" s="26"/>
      <c r="F41" s="26"/>
      <c r="G41" s="26"/>
    </row>
    <row r="42" spans="1:9" s="26" customFormat="1" x14ac:dyDescent="0.2">
      <c r="A42" s="4" t="s">
        <v>411</v>
      </c>
      <c r="B42"/>
    </row>
    <row r="43" spans="1:9" s="26" customFormat="1" x14ac:dyDescent="0.2">
      <c r="A43" s="4" t="s">
        <v>412</v>
      </c>
      <c r="B43"/>
    </row>
    <row r="44" spans="1:9" s="26" customFormat="1" x14ac:dyDescent="0.2">
      <c r="A44" s="4" t="s">
        <v>413</v>
      </c>
      <c r="B44"/>
      <c r="C44"/>
    </row>
    <row r="45" spans="1:9" s="24" customFormat="1" x14ac:dyDescent="0.2">
      <c r="A45" s="11" t="s">
        <v>414</v>
      </c>
      <c r="B45"/>
      <c r="C45"/>
      <c r="D45" s="26"/>
      <c r="F45" s="26"/>
      <c r="G45" s="26"/>
      <c r="I45"/>
    </row>
    <row r="46" spans="1:9" s="24" customFormat="1" x14ac:dyDescent="0.2">
      <c r="A46" s="72" t="s">
        <v>415</v>
      </c>
      <c r="B46"/>
      <c r="C46"/>
      <c r="D46" s="26"/>
      <c r="F46" s="26"/>
      <c r="I46"/>
    </row>
    <row r="47" spans="1:9" s="24" customFormat="1" x14ac:dyDescent="0.2">
      <c r="A47" s="72" t="s">
        <v>416</v>
      </c>
      <c r="B47"/>
      <c r="C47"/>
      <c r="D47" s="26"/>
      <c r="F47" s="26"/>
      <c r="G47" s="26"/>
      <c r="I47" s="26"/>
    </row>
    <row r="48" spans="1:9" s="26" customFormat="1" x14ac:dyDescent="0.2">
      <c r="A48" s="72" t="s">
        <v>417</v>
      </c>
      <c r="B48"/>
      <c r="C48"/>
    </row>
    <row r="49" spans="1:9" s="26" customFormat="1" x14ac:dyDescent="0.2">
      <c r="A49" s="72" t="s">
        <v>418</v>
      </c>
      <c r="B49"/>
      <c r="C49"/>
      <c r="I49"/>
    </row>
    <row r="50" spans="1:9" x14ac:dyDescent="0.2">
      <c r="A50" s="72" t="s">
        <v>419</v>
      </c>
      <c r="B50" s="44"/>
      <c r="F50" s="26"/>
      <c r="G50" s="26"/>
    </row>
    <row r="51" spans="1:9" x14ac:dyDescent="0.2">
      <c r="A51" s="25" t="s">
        <v>420</v>
      </c>
      <c r="B51" s="44"/>
      <c r="F51" s="26"/>
      <c r="G51" s="26"/>
    </row>
    <row r="52" spans="1:9" s="26" customFormat="1" x14ac:dyDescent="0.2">
      <c r="A52" s="75" t="s">
        <v>421</v>
      </c>
      <c r="B52" s="44"/>
      <c r="C52"/>
      <c r="I52"/>
    </row>
    <row r="53" spans="1:9" s="26" customFormat="1" x14ac:dyDescent="0.2">
      <c r="A53" s="25" t="s">
        <v>422</v>
      </c>
      <c r="B53" s="44"/>
      <c r="C53"/>
      <c r="F53"/>
      <c r="I53"/>
    </row>
    <row r="54" spans="1:9" x14ac:dyDescent="0.2">
      <c r="A54" s="25" t="s">
        <v>423</v>
      </c>
      <c r="B54" s="44"/>
      <c r="G54" s="26"/>
    </row>
    <row r="55" spans="1:9" x14ac:dyDescent="0.2">
      <c r="A55" s="25" t="s">
        <v>424</v>
      </c>
      <c r="B55" s="26"/>
      <c r="F55" s="26"/>
    </row>
    <row r="56" spans="1:9" x14ac:dyDescent="0.2">
      <c r="A56" s="25" t="s">
        <v>425</v>
      </c>
      <c r="B56" s="26"/>
      <c r="F56" s="26"/>
    </row>
    <row r="57" spans="1:9" x14ac:dyDescent="0.2">
      <c r="A57" s="25" t="s">
        <v>426</v>
      </c>
      <c r="B57" s="26"/>
    </row>
    <row r="58" spans="1:9" x14ac:dyDescent="0.2">
      <c r="A58" s="25" t="s">
        <v>427</v>
      </c>
      <c r="B58" s="26"/>
    </row>
    <row r="59" spans="1:9" x14ac:dyDescent="0.2">
      <c r="A59" s="25" t="s">
        <v>428</v>
      </c>
      <c r="B59" s="26"/>
    </row>
    <row r="60" spans="1:9" x14ac:dyDescent="0.2">
      <c r="A60" s="25" t="s">
        <v>429</v>
      </c>
    </row>
    <row r="61" spans="1:9" x14ac:dyDescent="0.2">
      <c r="A61" s="25" t="s">
        <v>430</v>
      </c>
    </row>
    <row r="62" spans="1:9" x14ac:dyDescent="0.2">
      <c r="A62" s="73" t="s">
        <v>431</v>
      </c>
    </row>
    <row r="63" spans="1:9" x14ac:dyDescent="0.2">
      <c r="A63" s="25" t="s">
        <v>432</v>
      </c>
    </row>
    <row r="64" spans="1:9" x14ac:dyDescent="0.2">
      <c r="A64" s="25" t="s">
        <v>433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61"/>
  <sheetViews>
    <sheetView workbookViewId="0">
      <selection activeCell="A23" sqref="A23:C23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446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2383.66</v>
      </c>
      <c r="C3" s="51">
        <v>2383.66</v>
      </c>
      <c r="H3" s="26"/>
    </row>
    <row r="4" spans="1:11" x14ac:dyDescent="0.2">
      <c r="A4" s="26" t="s">
        <v>265</v>
      </c>
      <c r="B4">
        <v>1223.79</v>
      </c>
      <c r="C4">
        <v>1223.79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3607.45</v>
      </c>
      <c r="G8" s="27">
        <f>C9+C10+C11+C12+C13+C14+C15+C16+C17+C18+C19</f>
        <v>2848.2600000000007</v>
      </c>
      <c r="H8" s="27">
        <f>F8-G8</f>
        <v>759.18999999999915</v>
      </c>
    </row>
    <row r="9" spans="1:11" s="24" customFormat="1" x14ac:dyDescent="0.2">
      <c r="A9" s="20" t="s">
        <v>351</v>
      </c>
      <c r="B9" s="20" t="s">
        <v>396</v>
      </c>
      <c r="C9" s="21">
        <v>209.6</v>
      </c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1551.17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311</v>
      </c>
      <c r="B11" s="20" t="s">
        <v>394</v>
      </c>
      <c r="C11" s="21">
        <v>74.900000000000006</v>
      </c>
      <c r="D11" s="26"/>
      <c r="F11" s="33">
        <f>B3+B4</f>
        <v>3607.45</v>
      </c>
      <c r="G11" s="27">
        <f>C22+C23+C24+C25+C26+C27+C28+C29+C30+C31+C32+C33</f>
        <v>2413.9100000000003</v>
      </c>
      <c r="H11" s="27">
        <f>F11-G11</f>
        <v>1193.5399999999995</v>
      </c>
      <c r="I11" s="26"/>
    </row>
    <row r="12" spans="1:11" s="24" customFormat="1" x14ac:dyDescent="0.2">
      <c r="A12" s="20" t="s">
        <v>449</v>
      </c>
      <c r="B12" s="20" t="s">
        <v>403</v>
      </c>
      <c r="C12" s="21">
        <v>152.63999999999999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76</v>
      </c>
      <c r="B13" s="20" t="s">
        <v>402</v>
      </c>
      <c r="C13" s="21">
        <v>14.99</v>
      </c>
      <c r="D13" s="26"/>
      <c r="F13" s="31"/>
      <c r="G13" s="31"/>
      <c r="H13" s="31"/>
    </row>
    <row r="14" spans="1:11" s="24" customFormat="1" x14ac:dyDescent="0.2">
      <c r="A14" s="20" t="s">
        <v>350</v>
      </c>
      <c r="B14" s="20" t="s">
        <v>396</v>
      </c>
      <c r="C14" s="21">
        <v>209.6</v>
      </c>
      <c r="D14" s="26"/>
      <c r="F14" s="31"/>
      <c r="G14" s="31"/>
      <c r="H14" s="31"/>
    </row>
    <row r="15" spans="1:11" s="24" customFormat="1" x14ac:dyDescent="0.2">
      <c r="A15" s="20" t="s">
        <v>437</v>
      </c>
      <c r="B15" s="20" t="s">
        <v>401</v>
      </c>
      <c r="C15" s="21">
        <v>128.05000000000001</v>
      </c>
      <c r="D15" s="26"/>
      <c r="F15" s="31"/>
      <c r="G15" s="31"/>
      <c r="H15" s="31"/>
      <c r="I15" s="26"/>
    </row>
    <row r="16" spans="1:11" s="24" customFormat="1" x14ac:dyDescent="0.2">
      <c r="A16" s="20" t="s">
        <v>442</v>
      </c>
      <c r="B16" s="20" t="s">
        <v>441</v>
      </c>
      <c r="C16" s="21">
        <v>68</v>
      </c>
      <c r="D16" s="26"/>
      <c r="F16" s="31"/>
      <c r="G16" s="31"/>
      <c r="H16" s="31"/>
      <c r="I16" s="26"/>
    </row>
    <row r="17" spans="1:9" s="24" customFormat="1" x14ac:dyDescent="0.2">
      <c r="A17" s="20" t="s">
        <v>301</v>
      </c>
      <c r="B17" s="20" t="s">
        <v>391</v>
      </c>
      <c r="C17" s="55">
        <v>87.76</v>
      </c>
      <c r="D17" s="26"/>
      <c r="F17" s="31"/>
      <c r="G17" s="31"/>
      <c r="H17" s="31"/>
      <c r="I17" s="26"/>
    </row>
    <row r="18" spans="1:9" s="24" customFormat="1" x14ac:dyDescent="0.2">
      <c r="A18" s="20" t="s">
        <v>447</v>
      </c>
      <c r="B18" s="20" t="s">
        <v>448</v>
      </c>
      <c r="C18" s="55">
        <v>180</v>
      </c>
      <c r="D18" s="26"/>
      <c r="F18" s="31"/>
      <c r="G18" s="31"/>
      <c r="H18" s="31"/>
      <c r="I18" s="26"/>
    </row>
    <row r="19" spans="1:9" s="24" customFormat="1" x14ac:dyDescent="0.2">
      <c r="A19" s="20" t="s">
        <v>321</v>
      </c>
      <c r="B19" s="20" t="s">
        <v>400</v>
      </c>
      <c r="C19" s="21">
        <v>171.55</v>
      </c>
      <c r="D19" s="26"/>
      <c r="F19" s="31"/>
      <c r="G19" s="31"/>
      <c r="H19" s="31"/>
      <c r="I19" s="26"/>
    </row>
    <row r="20" spans="1:9" s="24" customFormat="1" x14ac:dyDescent="0.2">
      <c r="A20" s="29"/>
      <c r="B20" s="29"/>
      <c r="C20" s="30"/>
      <c r="D20" s="26"/>
      <c r="F20" s="31"/>
      <c r="G20" s="31"/>
      <c r="H20" s="31"/>
      <c r="I20" s="26"/>
    </row>
    <row r="21" spans="1:9" s="24" customFormat="1" x14ac:dyDescent="0.2">
      <c r="A21" s="32" t="s">
        <v>13</v>
      </c>
      <c r="B21" s="25"/>
      <c r="C21" s="27"/>
      <c r="D21" s="26"/>
      <c r="F21" s="31"/>
      <c r="G21" s="31"/>
      <c r="H21" s="31"/>
      <c r="I21" s="26"/>
    </row>
    <row r="22" spans="1:9" s="24" customFormat="1" x14ac:dyDescent="0.2">
      <c r="A22" s="20" t="s">
        <v>348</v>
      </c>
      <c r="B22" s="20" t="s">
        <v>396</v>
      </c>
      <c r="C22" s="21">
        <v>209.6</v>
      </c>
      <c r="D22" s="26"/>
      <c r="F22" s="31"/>
      <c r="G22" s="31"/>
      <c r="H22" s="31"/>
      <c r="I22" s="26"/>
    </row>
    <row r="23" spans="1:9" s="24" customFormat="1" x14ac:dyDescent="0.2">
      <c r="A23" s="20" t="s">
        <v>316</v>
      </c>
      <c r="B23" s="20" t="s">
        <v>392</v>
      </c>
      <c r="C23" s="21">
        <v>525</v>
      </c>
      <c r="D23" s="26"/>
      <c r="F23" s="31"/>
      <c r="G23" s="31"/>
      <c r="H23" s="31"/>
      <c r="I23" s="26"/>
    </row>
    <row r="24" spans="1:9" s="24" customFormat="1" x14ac:dyDescent="0.2">
      <c r="A24" s="20" t="s">
        <v>378</v>
      </c>
      <c r="B24" s="20" t="s">
        <v>393</v>
      </c>
      <c r="C24" s="21">
        <v>216.5</v>
      </c>
      <c r="D24" s="26"/>
      <c r="F24" s="31"/>
      <c r="G24" s="31"/>
      <c r="H24" s="31"/>
      <c r="I24" s="26"/>
    </row>
    <row r="25" spans="1:9" s="24" customFormat="1" x14ac:dyDescent="0.2">
      <c r="A25" s="20" t="s">
        <v>60</v>
      </c>
      <c r="B25" s="20" t="s">
        <v>395</v>
      </c>
      <c r="C25" s="21">
        <v>71</v>
      </c>
      <c r="D25" s="26"/>
      <c r="F25" s="31"/>
      <c r="G25" s="31"/>
      <c r="H25" s="31"/>
      <c r="I25" s="26"/>
    </row>
    <row r="26" spans="1:9" s="24" customFormat="1" x14ac:dyDescent="0.2">
      <c r="A26" s="20" t="s">
        <v>349</v>
      </c>
      <c r="B26" s="20" t="s">
        <v>396</v>
      </c>
      <c r="C26" s="21">
        <v>209.6</v>
      </c>
      <c r="D26" s="26"/>
      <c r="F26" s="26"/>
      <c r="G26" s="26"/>
      <c r="H26" s="26"/>
      <c r="I26" s="26"/>
    </row>
    <row r="27" spans="1:9" s="24" customFormat="1" x14ac:dyDescent="0.2">
      <c r="A27" s="20" t="s">
        <v>73</v>
      </c>
      <c r="B27" s="20" t="s">
        <v>440</v>
      </c>
      <c r="C27" s="21">
        <v>311.55</v>
      </c>
      <c r="D27" s="26"/>
      <c r="F27" s="68" t="s">
        <v>330</v>
      </c>
      <c r="G27" s="26"/>
      <c r="H27" s="26"/>
      <c r="I27" s="26"/>
    </row>
    <row r="28" spans="1:9" s="26" customFormat="1" x14ac:dyDescent="0.2">
      <c r="A28" s="20" t="s">
        <v>79</v>
      </c>
      <c r="B28" s="20" t="s">
        <v>390</v>
      </c>
      <c r="C28" s="21">
        <v>142</v>
      </c>
      <c r="F28" s="25">
        <f>(H8+H11)/2</f>
        <v>976.36499999999933</v>
      </c>
    </row>
    <row r="29" spans="1:9" s="26" customFormat="1" x14ac:dyDescent="0.2">
      <c r="A29" s="20" t="s">
        <v>75</v>
      </c>
      <c r="B29" s="20" t="s">
        <v>395</v>
      </c>
      <c r="C29" s="21">
        <v>256.22000000000003</v>
      </c>
    </row>
    <row r="30" spans="1:9" s="24" customFormat="1" x14ac:dyDescent="0.2">
      <c r="A30" s="20" t="s">
        <v>267</v>
      </c>
      <c r="B30" s="20" t="s">
        <v>404</v>
      </c>
      <c r="C30" s="55">
        <v>28.13</v>
      </c>
      <c r="D30" s="26"/>
      <c r="H30" s="71"/>
    </row>
    <row r="31" spans="1:9" s="24" customFormat="1" x14ac:dyDescent="0.2">
      <c r="A31" s="25" t="s">
        <v>447</v>
      </c>
      <c r="B31" s="25" t="s">
        <v>395</v>
      </c>
      <c r="C31" s="58">
        <v>180</v>
      </c>
      <c r="D31" s="26"/>
      <c r="H31" s="71"/>
    </row>
    <row r="32" spans="1:9" s="24" customFormat="1" x14ac:dyDescent="0.2">
      <c r="A32" s="20" t="s">
        <v>438</v>
      </c>
      <c r="B32" s="20" t="s">
        <v>405</v>
      </c>
      <c r="C32" s="21">
        <v>55.9</v>
      </c>
      <c r="D32" s="26"/>
    </row>
    <row r="33" spans="1:9" s="26" customFormat="1" x14ac:dyDescent="0.2">
      <c r="A33" s="20" t="s">
        <v>302</v>
      </c>
      <c r="B33" s="20" t="s">
        <v>388</v>
      </c>
      <c r="C33" s="55">
        <v>208.41</v>
      </c>
    </row>
    <row r="34" spans="1:9" s="26" customFormat="1" x14ac:dyDescent="0.2">
      <c r="A34" s="14"/>
      <c r="B34" s="14"/>
      <c r="C34" s="14"/>
    </row>
    <row r="35" spans="1:9" s="26" customFormat="1" x14ac:dyDescent="0.2">
      <c r="A35"/>
      <c r="B35"/>
      <c r="C35"/>
    </row>
    <row r="36" spans="1:9" s="26" customFormat="1" x14ac:dyDescent="0.2">
      <c r="C36"/>
      <c r="I36" s="24"/>
    </row>
    <row r="37" spans="1:9" s="26" customFormat="1" x14ac:dyDescent="0.2">
      <c r="A37"/>
      <c r="B37"/>
      <c r="H37" s="24"/>
      <c r="I37" s="24"/>
    </row>
    <row r="38" spans="1:9" s="24" customFormat="1" x14ac:dyDescent="0.2">
      <c r="A38" s="74" t="s">
        <v>375</v>
      </c>
      <c r="B38"/>
      <c r="C38" s="26"/>
      <c r="D38" s="26"/>
      <c r="F38" s="26"/>
      <c r="G38" s="26"/>
    </row>
    <row r="39" spans="1:9" s="26" customFormat="1" x14ac:dyDescent="0.2">
      <c r="A39" s="4" t="s">
        <v>411</v>
      </c>
      <c r="B39"/>
    </row>
    <row r="40" spans="1:9" s="26" customFormat="1" x14ac:dyDescent="0.2">
      <c r="A40" s="4" t="s">
        <v>412</v>
      </c>
      <c r="B40"/>
    </row>
    <row r="41" spans="1:9" s="26" customFormat="1" x14ac:dyDescent="0.2">
      <c r="A41" s="4" t="s">
        <v>413</v>
      </c>
      <c r="B41"/>
      <c r="C41"/>
    </row>
    <row r="42" spans="1:9" s="24" customFormat="1" x14ac:dyDescent="0.2">
      <c r="A42" s="11" t="s">
        <v>414</v>
      </c>
      <c r="B42"/>
      <c r="C42"/>
      <c r="D42" s="26"/>
      <c r="F42" s="26"/>
      <c r="G42" s="26"/>
      <c r="I42"/>
    </row>
    <row r="43" spans="1:9" s="24" customFormat="1" x14ac:dyDescent="0.2">
      <c r="A43" s="72" t="s">
        <v>415</v>
      </c>
      <c r="B43"/>
      <c r="C43"/>
      <c r="D43" s="26"/>
      <c r="F43" s="26"/>
      <c r="I43"/>
    </row>
    <row r="44" spans="1:9" s="24" customFormat="1" x14ac:dyDescent="0.2">
      <c r="A44" s="72" t="s">
        <v>416</v>
      </c>
      <c r="B44"/>
      <c r="C44"/>
      <c r="D44" s="26"/>
      <c r="F44" s="26"/>
      <c r="G44" s="26"/>
      <c r="I44" s="26"/>
    </row>
    <row r="45" spans="1:9" s="26" customFormat="1" x14ac:dyDescent="0.2">
      <c r="A45" s="72" t="s">
        <v>417</v>
      </c>
      <c r="B45"/>
      <c r="C45"/>
    </row>
    <row r="46" spans="1:9" s="26" customFormat="1" x14ac:dyDescent="0.2">
      <c r="A46" s="72" t="s">
        <v>418</v>
      </c>
      <c r="B46"/>
      <c r="C46"/>
      <c r="I46"/>
    </row>
    <row r="47" spans="1:9" x14ac:dyDescent="0.2">
      <c r="A47" s="72" t="s">
        <v>419</v>
      </c>
      <c r="B47" s="44"/>
      <c r="F47" s="26"/>
      <c r="G47" s="26"/>
    </row>
    <row r="48" spans="1:9" x14ac:dyDescent="0.2">
      <c r="A48" s="25" t="s">
        <v>420</v>
      </c>
      <c r="B48" s="44"/>
      <c r="F48" s="26"/>
      <c r="G48" s="26"/>
    </row>
    <row r="49" spans="1:9" s="26" customFormat="1" x14ac:dyDescent="0.2">
      <c r="A49" s="75" t="s">
        <v>421</v>
      </c>
      <c r="B49" s="44"/>
      <c r="C49"/>
      <c r="I49"/>
    </row>
    <row r="50" spans="1:9" s="26" customFormat="1" x14ac:dyDescent="0.2">
      <c r="A50" s="25" t="s">
        <v>422</v>
      </c>
      <c r="B50" s="44"/>
      <c r="C50"/>
      <c r="F50"/>
      <c r="I50"/>
    </row>
    <row r="51" spans="1:9" x14ac:dyDescent="0.2">
      <c r="A51" s="25" t="s">
        <v>423</v>
      </c>
      <c r="B51" s="44"/>
      <c r="G51" s="26"/>
    </row>
    <row r="52" spans="1:9" x14ac:dyDescent="0.2">
      <c r="A52" s="25" t="s">
        <v>424</v>
      </c>
      <c r="B52" s="26"/>
      <c r="F52" s="26"/>
    </row>
    <row r="53" spans="1:9" x14ac:dyDescent="0.2">
      <c r="A53" s="25" t="s">
        <v>425</v>
      </c>
      <c r="B53" s="26"/>
      <c r="F53" s="26"/>
    </row>
    <row r="54" spans="1:9" x14ac:dyDescent="0.2">
      <c r="A54" s="25" t="s">
        <v>426</v>
      </c>
      <c r="B54" s="26"/>
    </row>
    <row r="55" spans="1:9" x14ac:dyDescent="0.2">
      <c r="A55" s="25" t="s">
        <v>427</v>
      </c>
      <c r="B55" s="26"/>
    </row>
    <row r="56" spans="1:9" x14ac:dyDescent="0.2">
      <c r="A56" s="25" t="s">
        <v>428</v>
      </c>
      <c r="B56" s="26"/>
    </row>
    <row r="57" spans="1:9" x14ac:dyDescent="0.2">
      <c r="A57" s="25" t="s">
        <v>429</v>
      </c>
    </row>
    <row r="58" spans="1:9" x14ac:dyDescent="0.2">
      <c r="A58" s="25" t="s">
        <v>430</v>
      </c>
    </row>
    <row r="59" spans="1:9" x14ac:dyDescent="0.2">
      <c r="A59" s="73" t="s">
        <v>431</v>
      </c>
    </row>
    <row r="60" spans="1:9" x14ac:dyDescent="0.2">
      <c r="A60" s="25" t="s">
        <v>432</v>
      </c>
    </row>
    <row r="61" spans="1:9" x14ac:dyDescent="0.2">
      <c r="A61" s="25" t="s">
        <v>433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62"/>
  <sheetViews>
    <sheetView workbookViewId="0">
      <selection activeCell="A23" sqref="A23:C23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444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2383.66</v>
      </c>
      <c r="C3" s="51">
        <v>2383.66</v>
      </c>
      <c r="H3" s="26"/>
    </row>
    <row r="4" spans="1:11" x14ac:dyDescent="0.2">
      <c r="A4" s="26" t="s">
        <v>265</v>
      </c>
      <c r="B4">
        <v>1223.79</v>
      </c>
      <c r="C4">
        <v>1223.79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3607.45</v>
      </c>
      <c r="G8" s="27">
        <f>C9+C10+C11+C12+C13+C14+C15+C16+C17+C18+C19</f>
        <v>2581.75</v>
      </c>
      <c r="H8" s="27">
        <f>F8-G8</f>
        <v>1025.6999999999998</v>
      </c>
    </row>
    <row r="9" spans="1:11" s="24" customFormat="1" x14ac:dyDescent="0.2">
      <c r="A9" s="20" t="s">
        <v>351</v>
      </c>
      <c r="B9" s="20" t="s">
        <v>396</v>
      </c>
      <c r="C9" s="21">
        <v>209.6</v>
      </c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1215.17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311</v>
      </c>
      <c r="B11" s="20" t="s">
        <v>394</v>
      </c>
      <c r="C11" s="21">
        <v>74.900000000000006</v>
      </c>
      <c r="D11" s="26"/>
      <c r="F11" s="33">
        <f>B3+B4</f>
        <v>3607.45</v>
      </c>
      <c r="G11" s="27">
        <f>C22+C23+C24+C25+C26+C27+C28+C29+C30+C31+C32+C33+C34</f>
        <v>2749.9</v>
      </c>
      <c r="H11" s="27">
        <f>F11-G11</f>
        <v>857.54999999999973</v>
      </c>
      <c r="I11" s="26"/>
    </row>
    <row r="12" spans="1:11" s="24" customFormat="1" x14ac:dyDescent="0.2">
      <c r="A12" s="20" t="s">
        <v>78</v>
      </c>
      <c r="B12" s="20" t="s">
        <v>403</v>
      </c>
      <c r="C12" s="21">
        <v>151.22999999999999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76</v>
      </c>
      <c r="B13" s="20" t="s">
        <v>402</v>
      </c>
      <c r="C13" s="21">
        <v>14.99</v>
      </c>
      <c r="D13" s="26"/>
      <c r="F13" s="31"/>
      <c r="G13" s="31"/>
      <c r="H13" s="31"/>
    </row>
    <row r="14" spans="1:11" s="24" customFormat="1" x14ac:dyDescent="0.2">
      <c r="A14" s="20" t="s">
        <v>350</v>
      </c>
      <c r="B14" s="20" t="s">
        <v>396</v>
      </c>
      <c r="C14" s="21">
        <v>209.6</v>
      </c>
      <c r="D14" s="26"/>
      <c r="F14" s="31"/>
      <c r="G14" s="31"/>
      <c r="H14" s="31"/>
    </row>
    <row r="15" spans="1:11" s="24" customFormat="1" x14ac:dyDescent="0.2">
      <c r="A15" s="20" t="s">
        <v>437</v>
      </c>
      <c r="B15" s="20" t="s">
        <v>401</v>
      </c>
      <c r="C15" s="21">
        <v>128.05000000000001</v>
      </c>
      <c r="D15" s="26"/>
      <c r="F15" s="31"/>
      <c r="G15" s="31"/>
      <c r="H15" s="31"/>
      <c r="I15" s="26"/>
    </row>
    <row r="16" spans="1:11" s="24" customFormat="1" x14ac:dyDescent="0.2">
      <c r="A16" s="20" t="s">
        <v>442</v>
      </c>
      <c r="B16" s="20" t="s">
        <v>441</v>
      </c>
      <c r="C16" s="21">
        <v>68</v>
      </c>
      <c r="D16" s="26"/>
      <c r="F16" s="31"/>
      <c r="G16" s="31"/>
      <c r="H16" s="31"/>
      <c r="I16" s="26"/>
    </row>
    <row r="17" spans="1:9" s="24" customFormat="1" x14ac:dyDescent="0.2">
      <c r="A17" s="20" t="s">
        <v>301</v>
      </c>
      <c r="B17" s="20" t="s">
        <v>391</v>
      </c>
      <c r="C17" s="55">
        <v>158.66</v>
      </c>
      <c r="D17" s="26"/>
      <c r="F17" s="31"/>
      <c r="G17" s="31"/>
      <c r="H17" s="31"/>
      <c r="I17" s="26"/>
    </row>
    <row r="18" spans="1:9" s="24" customFormat="1" x14ac:dyDescent="0.2">
      <c r="A18" s="20" t="s">
        <v>447</v>
      </c>
      <c r="B18" s="20" t="s">
        <v>448</v>
      </c>
      <c r="C18" s="55">
        <v>180</v>
      </c>
      <c r="D18" s="26"/>
      <c r="F18" s="31"/>
      <c r="G18" s="31"/>
      <c r="H18" s="31"/>
      <c r="I18" s="26"/>
    </row>
    <row r="19" spans="1:9" s="24" customFormat="1" x14ac:dyDescent="0.2">
      <c r="A19" s="20" t="s">
        <v>321</v>
      </c>
      <c r="B19" s="20" t="s">
        <v>400</v>
      </c>
      <c r="C19" s="21">
        <v>171.55</v>
      </c>
      <c r="D19" s="26"/>
      <c r="F19" s="31"/>
      <c r="G19" s="31"/>
      <c r="H19" s="31"/>
      <c r="I19" s="26"/>
    </row>
    <row r="20" spans="1:9" s="24" customFormat="1" x14ac:dyDescent="0.2">
      <c r="A20" s="29"/>
      <c r="B20" s="29"/>
      <c r="C20" s="30"/>
      <c r="D20" s="26"/>
      <c r="F20" s="31"/>
      <c r="G20" s="31"/>
      <c r="H20" s="31"/>
      <c r="I20" s="26"/>
    </row>
    <row r="21" spans="1:9" s="24" customFormat="1" x14ac:dyDescent="0.2">
      <c r="A21" s="32" t="s">
        <v>13</v>
      </c>
      <c r="B21" s="25"/>
      <c r="C21" s="27"/>
      <c r="D21" s="26"/>
      <c r="F21" s="31"/>
      <c r="G21" s="31"/>
      <c r="H21" s="31"/>
      <c r="I21" s="26"/>
    </row>
    <row r="22" spans="1:9" s="24" customFormat="1" x14ac:dyDescent="0.2">
      <c r="A22" s="20" t="s">
        <v>348</v>
      </c>
      <c r="B22" s="20" t="s">
        <v>396</v>
      </c>
      <c r="C22" s="21">
        <v>209.6</v>
      </c>
      <c r="D22" s="26"/>
      <c r="F22" s="31"/>
      <c r="G22" s="31"/>
      <c r="H22" s="31"/>
      <c r="I22" s="26"/>
    </row>
    <row r="23" spans="1:9" s="24" customFormat="1" x14ac:dyDescent="0.2">
      <c r="A23" s="20" t="s">
        <v>300</v>
      </c>
      <c r="B23" s="20" t="s">
        <v>443</v>
      </c>
      <c r="C23" s="20">
        <v>336</v>
      </c>
      <c r="D23" s="26"/>
      <c r="F23" s="31"/>
      <c r="G23" s="31"/>
      <c r="H23" s="31"/>
      <c r="I23" s="26"/>
    </row>
    <row r="24" spans="1:9" s="24" customFormat="1" x14ac:dyDescent="0.2">
      <c r="A24" s="20" t="s">
        <v>316</v>
      </c>
      <c r="B24" s="20" t="s">
        <v>392</v>
      </c>
      <c r="C24" s="21">
        <v>525</v>
      </c>
      <c r="D24" s="26"/>
      <c r="F24" s="31"/>
      <c r="G24" s="31"/>
      <c r="H24" s="31"/>
      <c r="I24" s="26"/>
    </row>
    <row r="25" spans="1:9" s="24" customFormat="1" x14ac:dyDescent="0.2">
      <c r="A25" s="20" t="s">
        <v>378</v>
      </c>
      <c r="B25" s="20" t="s">
        <v>393</v>
      </c>
      <c r="C25" s="21">
        <v>216.5</v>
      </c>
      <c r="D25" s="26"/>
      <c r="F25" s="31"/>
      <c r="G25" s="31"/>
      <c r="H25" s="31"/>
      <c r="I25" s="26"/>
    </row>
    <row r="26" spans="1:9" s="24" customFormat="1" x14ac:dyDescent="0.2">
      <c r="A26" s="20" t="s">
        <v>60</v>
      </c>
      <c r="B26" s="20" t="s">
        <v>395</v>
      </c>
      <c r="C26" s="21">
        <v>70.989999999999995</v>
      </c>
      <c r="D26" s="26"/>
      <c r="F26" s="31"/>
      <c r="G26" s="31"/>
      <c r="H26" s="31"/>
      <c r="I26" s="26"/>
    </row>
    <row r="27" spans="1:9" s="24" customFormat="1" x14ac:dyDescent="0.2">
      <c r="A27" s="20" t="s">
        <v>349</v>
      </c>
      <c r="B27" s="20" t="s">
        <v>396</v>
      </c>
      <c r="C27" s="21">
        <v>209.6</v>
      </c>
      <c r="D27" s="26"/>
      <c r="F27" s="26"/>
      <c r="G27" s="26"/>
      <c r="H27" s="26"/>
      <c r="I27" s="26"/>
    </row>
    <row r="28" spans="1:9" s="24" customFormat="1" x14ac:dyDescent="0.2">
      <c r="A28" s="20" t="s">
        <v>73</v>
      </c>
      <c r="B28" s="20" t="s">
        <v>440</v>
      </c>
      <c r="C28" s="21">
        <v>311.55</v>
      </c>
      <c r="D28" s="26"/>
      <c r="F28" s="68" t="s">
        <v>330</v>
      </c>
      <c r="G28" s="26"/>
      <c r="H28" s="26"/>
      <c r="I28" s="26"/>
    </row>
    <row r="29" spans="1:9" s="26" customFormat="1" x14ac:dyDescent="0.2">
      <c r="A29" s="20" t="s">
        <v>79</v>
      </c>
      <c r="B29" s="20" t="s">
        <v>390</v>
      </c>
      <c r="C29" s="21">
        <v>142</v>
      </c>
      <c r="F29" s="25">
        <f>(H8+H11)/2</f>
        <v>941.62499999999977</v>
      </c>
    </row>
    <row r="30" spans="1:9" s="26" customFormat="1" x14ac:dyDescent="0.2">
      <c r="A30" s="20" t="s">
        <v>75</v>
      </c>
      <c r="B30" s="20" t="s">
        <v>395</v>
      </c>
      <c r="C30" s="21">
        <v>256.22000000000003</v>
      </c>
    </row>
    <row r="31" spans="1:9" s="24" customFormat="1" x14ac:dyDescent="0.2">
      <c r="A31" s="20" t="s">
        <v>267</v>
      </c>
      <c r="B31" s="20" t="s">
        <v>404</v>
      </c>
      <c r="C31" s="55">
        <v>28.13</v>
      </c>
      <c r="D31" s="26"/>
      <c r="H31" s="71"/>
    </row>
    <row r="32" spans="1:9" s="24" customFormat="1" x14ac:dyDescent="0.2">
      <c r="A32" s="20" t="s">
        <v>447</v>
      </c>
      <c r="B32" s="20" t="s">
        <v>395</v>
      </c>
      <c r="C32" s="55">
        <v>180</v>
      </c>
      <c r="D32" s="26"/>
      <c r="H32" s="71"/>
    </row>
    <row r="33" spans="1:9" s="24" customFormat="1" x14ac:dyDescent="0.2">
      <c r="A33" s="20" t="s">
        <v>438</v>
      </c>
      <c r="B33" s="20" t="s">
        <v>405</v>
      </c>
      <c r="C33" s="21">
        <v>55.9</v>
      </c>
      <c r="D33" s="26"/>
    </row>
    <row r="34" spans="1:9" s="26" customFormat="1" x14ac:dyDescent="0.2">
      <c r="A34" s="20" t="s">
        <v>302</v>
      </c>
      <c r="B34" s="20" t="s">
        <v>388</v>
      </c>
      <c r="C34" s="55">
        <v>208.41</v>
      </c>
    </row>
    <row r="35" spans="1:9" s="26" customFormat="1" x14ac:dyDescent="0.2">
      <c r="A35" s="14"/>
      <c r="B35" s="14"/>
      <c r="C35" s="14"/>
    </row>
    <row r="36" spans="1:9" s="26" customFormat="1" x14ac:dyDescent="0.2">
      <c r="A36"/>
      <c r="B36"/>
      <c r="C36"/>
    </row>
    <row r="37" spans="1:9" s="26" customFormat="1" x14ac:dyDescent="0.2">
      <c r="C37"/>
      <c r="I37" s="24"/>
    </row>
    <row r="38" spans="1:9" s="26" customFormat="1" x14ac:dyDescent="0.2">
      <c r="A38"/>
      <c r="B38"/>
      <c r="H38" s="24"/>
      <c r="I38" s="24"/>
    </row>
    <row r="39" spans="1:9" s="24" customFormat="1" x14ac:dyDescent="0.2">
      <c r="A39" s="74" t="s">
        <v>375</v>
      </c>
      <c r="B39"/>
      <c r="C39" s="26"/>
      <c r="D39" s="26"/>
      <c r="F39" s="26"/>
      <c r="G39" s="26"/>
    </row>
    <row r="40" spans="1:9" s="26" customFormat="1" x14ac:dyDescent="0.2">
      <c r="A40" s="4" t="s">
        <v>411</v>
      </c>
      <c r="B40"/>
    </row>
    <row r="41" spans="1:9" s="26" customFormat="1" x14ac:dyDescent="0.2">
      <c r="A41" s="4" t="s">
        <v>412</v>
      </c>
      <c r="B41"/>
    </row>
    <row r="42" spans="1:9" s="26" customFormat="1" x14ac:dyDescent="0.2">
      <c r="A42" s="4" t="s">
        <v>413</v>
      </c>
      <c r="B42"/>
      <c r="C42"/>
    </row>
    <row r="43" spans="1:9" s="24" customFormat="1" x14ac:dyDescent="0.2">
      <c r="A43" s="11" t="s">
        <v>414</v>
      </c>
      <c r="B43"/>
      <c r="C43"/>
      <c r="D43" s="26"/>
      <c r="F43" s="26"/>
      <c r="G43" s="26"/>
      <c r="I43"/>
    </row>
    <row r="44" spans="1:9" s="24" customFormat="1" x14ac:dyDescent="0.2">
      <c r="A44" s="72" t="s">
        <v>415</v>
      </c>
      <c r="B44"/>
      <c r="C44"/>
      <c r="D44" s="26"/>
      <c r="F44" s="26"/>
      <c r="I44"/>
    </row>
    <row r="45" spans="1:9" s="24" customFormat="1" x14ac:dyDescent="0.2">
      <c r="A45" s="72" t="s">
        <v>416</v>
      </c>
      <c r="B45"/>
      <c r="C45"/>
      <c r="D45" s="26"/>
      <c r="F45" s="26"/>
      <c r="G45" s="26"/>
      <c r="I45" s="26"/>
    </row>
    <row r="46" spans="1:9" s="26" customFormat="1" x14ac:dyDescent="0.2">
      <c r="A46" s="72" t="s">
        <v>417</v>
      </c>
      <c r="B46"/>
      <c r="C46"/>
    </row>
    <row r="47" spans="1:9" s="26" customFormat="1" x14ac:dyDescent="0.2">
      <c r="A47" s="72" t="s">
        <v>418</v>
      </c>
      <c r="B47"/>
      <c r="C47"/>
      <c r="I47"/>
    </row>
    <row r="48" spans="1:9" x14ac:dyDescent="0.2">
      <c r="A48" s="72" t="s">
        <v>419</v>
      </c>
      <c r="B48" s="44"/>
      <c r="F48" s="26"/>
      <c r="G48" s="26"/>
    </row>
    <row r="49" spans="1:9" x14ac:dyDescent="0.2">
      <c r="A49" s="25" t="s">
        <v>420</v>
      </c>
      <c r="B49" s="44"/>
      <c r="F49" s="26"/>
      <c r="G49" s="26"/>
    </row>
    <row r="50" spans="1:9" s="26" customFormat="1" x14ac:dyDescent="0.2">
      <c r="A50" s="75" t="s">
        <v>421</v>
      </c>
      <c r="B50" s="44"/>
      <c r="C50"/>
      <c r="I50"/>
    </row>
    <row r="51" spans="1:9" s="26" customFormat="1" x14ac:dyDescent="0.2">
      <c r="A51" s="25" t="s">
        <v>422</v>
      </c>
      <c r="B51" s="44"/>
      <c r="C51"/>
      <c r="F51"/>
      <c r="I51"/>
    </row>
    <row r="52" spans="1:9" x14ac:dyDescent="0.2">
      <c r="A52" s="25" t="s">
        <v>423</v>
      </c>
      <c r="B52" s="44"/>
      <c r="G52" s="26"/>
    </row>
    <row r="53" spans="1:9" x14ac:dyDescent="0.2">
      <c r="A53" s="25" t="s">
        <v>424</v>
      </c>
      <c r="B53" s="26"/>
      <c r="F53" s="26"/>
    </row>
    <row r="54" spans="1:9" x14ac:dyDescent="0.2">
      <c r="A54" s="25" t="s">
        <v>425</v>
      </c>
      <c r="B54" s="26"/>
      <c r="F54" s="26"/>
    </row>
    <row r="55" spans="1:9" x14ac:dyDescent="0.2">
      <c r="A55" s="25" t="s">
        <v>426</v>
      </c>
      <c r="B55" s="26"/>
    </row>
    <row r="56" spans="1:9" x14ac:dyDescent="0.2">
      <c r="A56" s="25" t="s">
        <v>427</v>
      </c>
      <c r="B56" s="26"/>
    </row>
    <row r="57" spans="1:9" x14ac:dyDescent="0.2">
      <c r="A57" s="25" t="s">
        <v>428</v>
      </c>
      <c r="B57" s="26"/>
    </row>
    <row r="58" spans="1:9" x14ac:dyDescent="0.2">
      <c r="A58" s="25" t="s">
        <v>429</v>
      </c>
    </row>
    <row r="59" spans="1:9" x14ac:dyDescent="0.2">
      <c r="A59" s="25" t="s">
        <v>430</v>
      </c>
    </row>
    <row r="60" spans="1:9" x14ac:dyDescent="0.2">
      <c r="A60" s="73" t="s">
        <v>431</v>
      </c>
    </row>
    <row r="61" spans="1:9" x14ac:dyDescent="0.2">
      <c r="A61" s="25" t="s">
        <v>432</v>
      </c>
    </row>
    <row r="62" spans="1:9" x14ac:dyDescent="0.2">
      <c r="A62" s="25" t="s">
        <v>433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60"/>
  <sheetViews>
    <sheetView workbookViewId="0">
      <selection activeCell="A22" sqref="A22:C22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439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2383.66</v>
      </c>
      <c r="C3" s="51">
        <v>2383.66</v>
      </c>
      <c r="H3" s="26"/>
    </row>
    <row r="4" spans="1:11" x14ac:dyDescent="0.2">
      <c r="A4" s="26" t="s">
        <v>265</v>
      </c>
      <c r="B4">
        <v>1188.71</v>
      </c>
      <c r="C4">
        <v>1188.71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3572.37</v>
      </c>
      <c r="G8" s="27">
        <f>C9+C10+C11+C12+C13+C14+C15+C16+C17+C18</f>
        <v>1982.5500000000002</v>
      </c>
      <c r="H8" s="27">
        <f>F8-G8</f>
        <v>1589.8199999999997</v>
      </c>
    </row>
    <row r="9" spans="1:11" s="24" customFormat="1" x14ac:dyDescent="0.2">
      <c r="A9" s="25" t="s">
        <v>351</v>
      </c>
      <c r="B9" s="25" t="s">
        <v>396</v>
      </c>
      <c r="C9" s="27"/>
      <c r="D9" s="26"/>
      <c r="F9" s="31"/>
      <c r="G9" s="31"/>
      <c r="H9" s="67"/>
      <c r="I9" s="26"/>
    </row>
    <row r="10" spans="1:11" s="24" customFormat="1" x14ac:dyDescent="0.2">
      <c r="A10" s="20" t="s">
        <v>293</v>
      </c>
      <c r="B10" s="20" t="s">
        <v>389</v>
      </c>
      <c r="C10" s="20">
        <v>1215.17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311</v>
      </c>
      <c r="B11" s="20" t="s">
        <v>394</v>
      </c>
      <c r="C11" s="21">
        <v>74.900000000000006</v>
      </c>
      <c r="D11" s="26"/>
      <c r="F11" s="33">
        <f>B3+B4</f>
        <v>3572.37</v>
      </c>
      <c r="G11" s="27">
        <f>C21+C22+C23+C24+C25+C26+C27+C28+C29+C30+C31+C32</f>
        <v>2231.69</v>
      </c>
      <c r="H11" s="27">
        <f>F11-G11</f>
        <v>1340.6799999999998</v>
      </c>
      <c r="I11" s="26"/>
    </row>
    <row r="12" spans="1:11" s="24" customFormat="1" x14ac:dyDescent="0.2">
      <c r="A12" s="20" t="s">
        <v>78</v>
      </c>
      <c r="B12" s="20" t="s">
        <v>403</v>
      </c>
      <c r="C12" s="21">
        <v>151.22999999999999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76</v>
      </c>
      <c r="B13" s="20" t="s">
        <v>402</v>
      </c>
      <c r="C13" s="21">
        <v>14.99</v>
      </c>
      <c r="D13" s="26"/>
      <c r="F13" s="31"/>
      <c r="G13" s="31"/>
      <c r="H13" s="31"/>
    </row>
    <row r="14" spans="1:11" s="24" customFormat="1" x14ac:dyDescent="0.2">
      <c r="A14" s="20" t="s">
        <v>350</v>
      </c>
      <c r="B14" s="20" t="s">
        <v>396</v>
      </c>
      <c r="C14" s="21"/>
      <c r="D14" s="26"/>
      <c r="F14" s="31"/>
      <c r="G14" s="31"/>
      <c r="H14" s="31"/>
    </row>
    <row r="15" spans="1:11" s="24" customFormat="1" x14ac:dyDescent="0.2">
      <c r="A15" s="20" t="s">
        <v>437</v>
      </c>
      <c r="B15" s="20" t="s">
        <v>401</v>
      </c>
      <c r="C15" s="21">
        <v>128.05000000000001</v>
      </c>
      <c r="D15" s="26"/>
      <c r="F15" s="31"/>
      <c r="G15" s="31"/>
      <c r="H15" s="31"/>
      <c r="I15" s="26"/>
    </row>
    <row r="16" spans="1:11" s="24" customFormat="1" x14ac:dyDescent="0.2">
      <c r="A16" s="20" t="s">
        <v>442</v>
      </c>
      <c r="B16" s="20" t="s">
        <v>441</v>
      </c>
      <c r="C16" s="21">
        <v>68</v>
      </c>
      <c r="D16" s="26"/>
      <c r="F16" s="31"/>
      <c r="G16" s="31"/>
      <c r="H16" s="31"/>
      <c r="I16" s="26"/>
    </row>
    <row r="17" spans="1:9" s="24" customFormat="1" x14ac:dyDescent="0.2">
      <c r="A17" s="20" t="s">
        <v>301</v>
      </c>
      <c r="B17" s="20" t="s">
        <v>391</v>
      </c>
      <c r="C17" s="55">
        <v>158.66</v>
      </c>
      <c r="D17" s="26"/>
      <c r="F17" s="31"/>
      <c r="G17" s="31"/>
      <c r="H17" s="31"/>
      <c r="I17" s="26"/>
    </row>
    <row r="18" spans="1:9" s="24" customFormat="1" x14ac:dyDescent="0.2">
      <c r="A18" s="20" t="s">
        <v>321</v>
      </c>
      <c r="B18" s="20" t="s">
        <v>400</v>
      </c>
      <c r="C18" s="21">
        <v>171.55</v>
      </c>
      <c r="D18" s="26"/>
      <c r="F18" s="31"/>
      <c r="G18" s="31"/>
      <c r="H18" s="31"/>
      <c r="I18" s="26"/>
    </row>
    <row r="19" spans="1:9" s="24" customFormat="1" x14ac:dyDescent="0.2">
      <c r="A19" s="29"/>
      <c r="B19" s="29"/>
      <c r="C19" s="30"/>
      <c r="D19" s="26"/>
      <c r="F19" s="31"/>
      <c r="G19" s="31"/>
      <c r="H19" s="31"/>
      <c r="I19" s="26"/>
    </row>
    <row r="20" spans="1:9" s="24" customFormat="1" x14ac:dyDescent="0.2">
      <c r="A20" s="32" t="s">
        <v>13</v>
      </c>
      <c r="B20" s="25"/>
      <c r="C20" s="27"/>
      <c r="D20" s="26"/>
      <c r="F20" s="31"/>
      <c r="G20" s="31"/>
      <c r="H20" s="31"/>
      <c r="I20" s="26"/>
    </row>
    <row r="21" spans="1:9" s="24" customFormat="1" x14ac:dyDescent="0.2">
      <c r="A21" s="20" t="s">
        <v>348</v>
      </c>
      <c r="B21" s="20" t="s">
        <v>396</v>
      </c>
      <c r="C21" s="21"/>
      <c r="D21" s="26"/>
      <c r="F21" s="31"/>
      <c r="G21" s="31"/>
      <c r="H21" s="31"/>
      <c r="I21" s="26"/>
    </row>
    <row r="22" spans="1:9" s="24" customFormat="1" x14ac:dyDescent="0.2">
      <c r="A22" s="20" t="s">
        <v>300</v>
      </c>
      <c r="B22" s="20" t="s">
        <v>443</v>
      </c>
      <c r="C22" s="20">
        <v>336</v>
      </c>
      <c r="D22" s="26"/>
      <c r="F22" s="31"/>
      <c r="G22" s="31"/>
      <c r="H22" s="31"/>
      <c r="I22" s="26"/>
    </row>
    <row r="23" spans="1:9" s="24" customFormat="1" x14ac:dyDescent="0.2">
      <c r="A23" s="20" t="s">
        <v>316</v>
      </c>
      <c r="B23" s="20" t="s">
        <v>392</v>
      </c>
      <c r="C23" s="21">
        <v>525</v>
      </c>
      <c r="D23" s="26"/>
      <c r="F23" s="31"/>
      <c r="G23" s="31"/>
      <c r="H23" s="31"/>
      <c r="I23" s="26"/>
    </row>
    <row r="24" spans="1:9" s="24" customFormat="1" x14ac:dyDescent="0.2">
      <c r="A24" s="20" t="s">
        <v>378</v>
      </c>
      <c r="B24" s="20" t="s">
        <v>393</v>
      </c>
      <c r="C24" s="21">
        <v>216.5</v>
      </c>
      <c r="D24" s="26"/>
      <c r="F24" s="31"/>
      <c r="G24" s="31"/>
      <c r="H24" s="31"/>
      <c r="I24" s="26"/>
    </row>
    <row r="25" spans="1:9" s="24" customFormat="1" x14ac:dyDescent="0.2">
      <c r="A25" s="20" t="s">
        <v>445</v>
      </c>
      <c r="B25" s="20" t="s">
        <v>395</v>
      </c>
      <c r="C25" s="21">
        <v>155.83000000000001</v>
      </c>
      <c r="D25" s="26"/>
      <c r="F25" s="31"/>
      <c r="G25" s="31"/>
      <c r="H25" s="31"/>
      <c r="I25" s="26"/>
    </row>
    <row r="26" spans="1:9" s="24" customFormat="1" x14ac:dyDescent="0.2">
      <c r="A26" s="20" t="s">
        <v>349</v>
      </c>
      <c r="B26" s="20" t="s">
        <v>396</v>
      </c>
      <c r="C26" s="21"/>
      <c r="D26" s="26"/>
      <c r="F26" s="26"/>
      <c r="G26" s="26"/>
      <c r="H26" s="26"/>
      <c r="I26" s="26"/>
    </row>
    <row r="27" spans="1:9" s="24" customFormat="1" x14ac:dyDescent="0.2">
      <c r="A27" s="20" t="s">
        <v>73</v>
      </c>
      <c r="B27" s="20" t="s">
        <v>440</v>
      </c>
      <c r="C27" s="21">
        <v>311.55</v>
      </c>
      <c r="D27" s="26"/>
      <c r="F27" s="68" t="s">
        <v>330</v>
      </c>
      <c r="G27" s="26"/>
      <c r="H27" s="68" t="s">
        <v>381</v>
      </c>
      <c r="I27" s="26"/>
    </row>
    <row r="28" spans="1:9" s="26" customFormat="1" x14ac:dyDescent="0.2">
      <c r="A28" s="20" t="s">
        <v>79</v>
      </c>
      <c r="B28" s="20" t="s">
        <v>390</v>
      </c>
      <c r="C28" s="21">
        <v>142</v>
      </c>
      <c r="F28" s="25">
        <f>(H8+H11)/2</f>
        <v>1465.2499999999998</v>
      </c>
      <c r="H28" s="25">
        <f>F28-900</f>
        <v>565.24999999999977</v>
      </c>
    </row>
    <row r="29" spans="1:9" s="26" customFormat="1" x14ac:dyDescent="0.2">
      <c r="A29" s="20" t="s">
        <v>75</v>
      </c>
      <c r="B29" s="20" t="s">
        <v>395</v>
      </c>
      <c r="C29" s="21">
        <v>256.22000000000003</v>
      </c>
    </row>
    <row r="30" spans="1:9" s="24" customFormat="1" x14ac:dyDescent="0.2">
      <c r="A30" s="20" t="s">
        <v>267</v>
      </c>
      <c r="B30" s="20" t="s">
        <v>404</v>
      </c>
      <c r="C30" s="55">
        <v>28.13</v>
      </c>
      <c r="D30" s="26"/>
      <c r="H30" s="71"/>
    </row>
    <row r="31" spans="1:9" s="24" customFormat="1" x14ac:dyDescent="0.2">
      <c r="A31" s="20" t="s">
        <v>438</v>
      </c>
      <c r="B31" s="20" t="s">
        <v>405</v>
      </c>
      <c r="C31" s="21">
        <v>55.9</v>
      </c>
      <c r="D31" s="26"/>
    </row>
    <row r="32" spans="1:9" s="26" customFormat="1" x14ac:dyDescent="0.2">
      <c r="A32" s="20" t="s">
        <v>302</v>
      </c>
      <c r="B32" s="20" t="s">
        <v>388</v>
      </c>
      <c r="C32" s="55">
        <v>204.56</v>
      </c>
    </row>
    <row r="33" spans="1:9" s="26" customFormat="1" x14ac:dyDescent="0.2">
      <c r="A33" s="14"/>
      <c r="B33" s="14"/>
      <c r="C33" s="14"/>
    </row>
    <row r="34" spans="1:9" s="26" customFormat="1" x14ac:dyDescent="0.2">
      <c r="A34"/>
      <c r="B34"/>
      <c r="C34"/>
    </row>
    <row r="35" spans="1:9" s="26" customFormat="1" x14ac:dyDescent="0.2">
      <c r="C35"/>
      <c r="I35" s="24"/>
    </row>
    <row r="36" spans="1:9" s="26" customFormat="1" x14ac:dyDescent="0.2">
      <c r="A36"/>
      <c r="B36"/>
      <c r="H36" s="24"/>
      <c r="I36" s="24"/>
    </row>
    <row r="37" spans="1:9" s="24" customFormat="1" x14ac:dyDescent="0.2">
      <c r="A37" s="74" t="s">
        <v>375</v>
      </c>
      <c r="B37"/>
      <c r="C37" s="26"/>
      <c r="D37" s="26"/>
      <c r="F37" s="26"/>
      <c r="G37" s="26"/>
    </row>
    <row r="38" spans="1:9" s="26" customFormat="1" x14ac:dyDescent="0.2">
      <c r="A38" s="4" t="s">
        <v>411</v>
      </c>
      <c r="B38"/>
    </row>
    <row r="39" spans="1:9" s="26" customFormat="1" x14ac:dyDescent="0.2">
      <c r="A39" s="4" t="s">
        <v>412</v>
      </c>
      <c r="B39"/>
    </row>
    <row r="40" spans="1:9" s="26" customFormat="1" x14ac:dyDescent="0.2">
      <c r="A40" s="4" t="s">
        <v>413</v>
      </c>
      <c r="B40"/>
      <c r="C40"/>
    </row>
    <row r="41" spans="1:9" s="24" customFormat="1" x14ac:dyDescent="0.2">
      <c r="A41" s="11" t="s">
        <v>414</v>
      </c>
      <c r="B41"/>
      <c r="C41"/>
      <c r="D41" s="26"/>
      <c r="F41" s="26"/>
      <c r="G41" s="26"/>
      <c r="I41"/>
    </row>
    <row r="42" spans="1:9" s="24" customFormat="1" x14ac:dyDescent="0.2">
      <c r="A42" s="72" t="s">
        <v>415</v>
      </c>
      <c r="B42"/>
      <c r="C42"/>
      <c r="D42" s="26"/>
      <c r="F42" s="26"/>
      <c r="I42"/>
    </row>
    <row r="43" spans="1:9" s="24" customFormat="1" x14ac:dyDescent="0.2">
      <c r="A43" s="72" t="s">
        <v>416</v>
      </c>
      <c r="B43"/>
      <c r="C43"/>
      <c r="D43" s="26"/>
      <c r="F43" s="26"/>
      <c r="G43" s="26"/>
      <c r="I43" s="26"/>
    </row>
    <row r="44" spans="1:9" s="26" customFormat="1" x14ac:dyDescent="0.2">
      <c r="A44" s="72" t="s">
        <v>417</v>
      </c>
      <c r="B44"/>
      <c r="C44"/>
    </row>
    <row r="45" spans="1:9" s="26" customFormat="1" x14ac:dyDescent="0.2">
      <c r="A45" s="72" t="s">
        <v>418</v>
      </c>
      <c r="B45"/>
      <c r="C45"/>
      <c r="I45"/>
    </row>
    <row r="46" spans="1:9" x14ac:dyDescent="0.2">
      <c r="A46" s="72" t="s">
        <v>419</v>
      </c>
      <c r="B46" s="44"/>
      <c r="F46" s="26"/>
      <c r="G46" s="26"/>
    </row>
    <row r="47" spans="1:9" x14ac:dyDescent="0.2">
      <c r="A47" s="25" t="s">
        <v>420</v>
      </c>
      <c r="B47" s="44"/>
      <c r="F47" s="26"/>
      <c r="G47" s="26"/>
    </row>
    <row r="48" spans="1:9" s="26" customFormat="1" x14ac:dyDescent="0.2">
      <c r="A48" s="75" t="s">
        <v>421</v>
      </c>
      <c r="B48" s="44"/>
      <c r="C48"/>
      <c r="I48"/>
    </row>
    <row r="49" spans="1:9" s="26" customFormat="1" x14ac:dyDescent="0.2">
      <c r="A49" s="25" t="s">
        <v>422</v>
      </c>
      <c r="B49" s="44"/>
      <c r="C49"/>
      <c r="F49"/>
      <c r="I49"/>
    </row>
    <row r="50" spans="1:9" x14ac:dyDescent="0.2">
      <c r="A50" s="25" t="s">
        <v>423</v>
      </c>
      <c r="B50" s="44"/>
      <c r="G50" s="26"/>
    </row>
    <row r="51" spans="1:9" x14ac:dyDescent="0.2">
      <c r="A51" s="25" t="s">
        <v>424</v>
      </c>
      <c r="B51" s="26"/>
      <c r="F51" s="26"/>
    </row>
    <row r="52" spans="1:9" x14ac:dyDescent="0.2">
      <c r="A52" s="25" t="s">
        <v>425</v>
      </c>
      <c r="B52" s="26"/>
      <c r="F52" s="26"/>
    </row>
    <row r="53" spans="1:9" x14ac:dyDescent="0.2">
      <c r="A53" s="25" t="s">
        <v>426</v>
      </c>
      <c r="B53" s="26"/>
    </row>
    <row r="54" spans="1:9" x14ac:dyDescent="0.2">
      <c r="A54" s="25" t="s">
        <v>427</v>
      </c>
      <c r="B54" s="26"/>
    </row>
    <row r="55" spans="1:9" x14ac:dyDescent="0.2">
      <c r="A55" s="25" t="s">
        <v>428</v>
      </c>
      <c r="B55" s="26"/>
    </row>
    <row r="56" spans="1:9" x14ac:dyDescent="0.2">
      <c r="A56" s="25" t="s">
        <v>429</v>
      </c>
    </row>
    <row r="57" spans="1:9" x14ac:dyDescent="0.2">
      <c r="A57" s="25" t="s">
        <v>430</v>
      </c>
    </row>
    <row r="58" spans="1:9" x14ac:dyDescent="0.2">
      <c r="A58" s="73" t="s">
        <v>431</v>
      </c>
    </row>
    <row r="59" spans="1:9" x14ac:dyDescent="0.2">
      <c r="A59" s="25" t="s">
        <v>432</v>
      </c>
    </row>
    <row r="60" spans="1:9" x14ac:dyDescent="0.2">
      <c r="A60" s="25" t="s">
        <v>433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54"/>
  <sheetViews>
    <sheetView workbookViewId="0">
      <selection activeCell="A22" sqref="A22:C22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436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2383.66</v>
      </c>
      <c r="C3" s="51">
        <v>2383.66</v>
      </c>
      <c r="H3" s="26"/>
    </row>
    <row r="4" spans="1:11" x14ac:dyDescent="0.2">
      <c r="A4" s="26" t="s">
        <v>265</v>
      </c>
      <c r="B4">
        <v>1188.71</v>
      </c>
      <c r="C4">
        <v>1188.71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3572.37</v>
      </c>
      <c r="G8" s="27">
        <f>C9+C10+C11</f>
        <v>1514.77</v>
      </c>
      <c r="H8" s="27">
        <f>F8-G8</f>
        <v>2057.6</v>
      </c>
    </row>
    <row r="9" spans="1:11" s="24" customFormat="1" x14ac:dyDescent="0.2">
      <c r="A9" s="20" t="s">
        <v>293</v>
      </c>
      <c r="B9" s="20" t="s">
        <v>389</v>
      </c>
      <c r="C9" s="20">
        <v>1215.17</v>
      </c>
      <c r="D9" s="26"/>
      <c r="F9" s="31"/>
      <c r="G9" s="31"/>
      <c r="H9" s="67"/>
      <c r="I9" s="26"/>
    </row>
    <row r="10" spans="1:11" s="24" customFormat="1" x14ac:dyDescent="0.2">
      <c r="A10" s="20" t="s">
        <v>437</v>
      </c>
      <c r="B10" s="20" t="s">
        <v>401</v>
      </c>
      <c r="C10" s="21">
        <v>128.05000000000001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321</v>
      </c>
      <c r="B11" s="20" t="s">
        <v>400</v>
      </c>
      <c r="C11" s="21">
        <v>171.55</v>
      </c>
      <c r="D11" s="26"/>
      <c r="F11" s="33">
        <f>B3+B4</f>
        <v>3572.37</v>
      </c>
      <c r="G11" s="27">
        <f>C14+C15+C16+C17+C18+C19+C20+C21+C22+C23+C24+C25+C26</f>
        <v>2325.5300000000002</v>
      </c>
      <c r="H11" s="27">
        <f>F11-G11</f>
        <v>1246.8399999999997</v>
      </c>
      <c r="I11" s="26"/>
    </row>
    <row r="12" spans="1:11" s="24" customFormat="1" x14ac:dyDescent="0.2">
      <c r="A12" s="29"/>
      <c r="B12" s="29"/>
      <c r="C12" s="30"/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32" t="s">
        <v>13</v>
      </c>
      <c r="B13" s="25"/>
      <c r="C13" s="27"/>
      <c r="D13" s="26"/>
      <c r="F13" s="31"/>
      <c r="G13" s="31"/>
      <c r="H13" s="31"/>
    </row>
    <row r="14" spans="1:11" s="24" customFormat="1" x14ac:dyDescent="0.2">
      <c r="A14" s="20" t="s">
        <v>300</v>
      </c>
      <c r="B14" s="20" t="s">
        <v>389</v>
      </c>
      <c r="C14" s="20">
        <v>336</v>
      </c>
      <c r="D14" s="26"/>
      <c r="F14" s="31"/>
      <c r="G14" s="31"/>
      <c r="H14" s="31"/>
      <c r="I14" s="26"/>
    </row>
    <row r="15" spans="1:11" s="24" customFormat="1" x14ac:dyDescent="0.2">
      <c r="A15" s="20" t="s">
        <v>316</v>
      </c>
      <c r="B15" s="20" t="s">
        <v>392</v>
      </c>
      <c r="C15" s="21">
        <v>525</v>
      </c>
      <c r="D15" s="26"/>
      <c r="F15" s="31"/>
      <c r="G15" s="31"/>
      <c r="H15" s="31"/>
      <c r="I15" s="26"/>
    </row>
    <row r="16" spans="1:11" s="24" customFormat="1" x14ac:dyDescent="0.2">
      <c r="A16" s="20" t="s">
        <v>378</v>
      </c>
      <c r="B16" s="20" t="s">
        <v>393</v>
      </c>
      <c r="C16" s="21">
        <v>216.5</v>
      </c>
      <c r="D16" s="26"/>
      <c r="F16" s="31"/>
      <c r="G16" s="31"/>
      <c r="H16" s="31"/>
      <c r="I16" s="26"/>
    </row>
    <row r="17" spans="1:9" s="24" customFormat="1" x14ac:dyDescent="0.2">
      <c r="A17" s="20" t="s">
        <v>379</v>
      </c>
      <c r="B17" s="20" t="s">
        <v>395</v>
      </c>
      <c r="C17" s="21">
        <v>155.83000000000001</v>
      </c>
      <c r="D17" s="26"/>
      <c r="F17" s="31"/>
      <c r="G17" s="31"/>
      <c r="H17" s="31"/>
      <c r="I17" s="26"/>
    </row>
    <row r="18" spans="1:9" s="24" customFormat="1" x14ac:dyDescent="0.2">
      <c r="A18" s="20" t="s">
        <v>76</v>
      </c>
      <c r="B18" s="20" t="s">
        <v>402</v>
      </c>
      <c r="C18" s="21">
        <v>14.99</v>
      </c>
      <c r="D18" s="26"/>
      <c r="F18" s="31"/>
      <c r="G18" s="31"/>
      <c r="H18" s="31"/>
      <c r="I18" s="26"/>
    </row>
    <row r="19" spans="1:9" s="24" customFormat="1" x14ac:dyDescent="0.2">
      <c r="A19" s="20" t="s">
        <v>311</v>
      </c>
      <c r="B19" s="20" t="s">
        <v>394</v>
      </c>
      <c r="C19" s="21">
        <v>74.900000000000006</v>
      </c>
      <c r="D19" s="26"/>
      <c r="F19" s="31"/>
      <c r="G19" s="31"/>
      <c r="H19" s="31"/>
      <c r="I19" s="26"/>
    </row>
    <row r="20" spans="1:9" s="24" customFormat="1" x14ac:dyDescent="0.2">
      <c r="A20" s="20" t="s">
        <v>79</v>
      </c>
      <c r="B20" s="20" t="s">
        <v>390</v>
      </c>
      <c r="C20" s="21">
        <v>142</v>
      </c>
      <c r="D20" s="26"/>
      <c r="F20" s="31"/>
      <c r="G20" s="31"/>
      <c r="H20" s="31"/>
      <c r="I20" s="26"/>
    </row>
    <row r="21" spans="1:9" s="24" customFormat="1" x14ac:dyDescent="0.2">
      <c r="A21" s="20" t="s">
        <v>75</v>
      </c>
      <c r="B21" s="20" t="s">
        <v>395</v>
      </c>
      <c r="C21" s="21">
        <v>256.22000000000003</v>
      </c>
      <c r="D21" s="26"/>
      <c r="F21" s="31"/>
      <c r="G21" s="31"/>
      <c r="H21" s="31"/>
      <c r="I21" s="26"/>
    </row>
    <row r="22" spans="1:9" s="24" customFormat="1" x14ac:dyDescent="0.2">
      <c r="A22" s="20" t="s">
        <v>78</v>
      </c>
      <c r="B22" s="20" t="s">
        <v>403</v>
      </c>
      <c r="C22" s="21">
        <v>151.22999999999999</v>
      </c>
      <c r="D22" s="26"/>
      <c r="F22" s="31"/>
      <c r="G22" s="31"/>
      <c r="H22" s="31"/>
      <c r="I22" s="26"/>
    </row>
    <row r="23" spans="1:9" s="24" customFormat="1" x14ac:dyDescent="0.2">
      <c r="A23" s="20" t="s">
        <v>267</v>
      </c>
      <c r="B23" s="20" t="s">
        <v>404</v>
      </c>
      <c r="C23" s="55">
        <v>28.13</v>
      </c>
      <c r="D23" s="26"/>
      <c r="F23" s="31"/>
      <c r="G23" s="31"/>
      <c r="H23" s="31"/>
      <c r="I23" s="26"/>
    </row>
    <row r="24" spans="1:9" s="24" customFormat="1" x14ac:dyDescent="0.2">
      <c r="A24" s="20" t="s">
        <v>301</v>
      </c>
      <c r="B24" s="20" t="s">
        <v>391</v>
      </c>
      <c r="C24" s="55">
        <v>158.66</v>
      </c>
      <c r="D24" s="26"/>
      <c r="F24" s="26"/>
      <c r="G24" s="26"/>
      <c r="H24" s="26"/>
      <c r="I24" s="26"/>
    </row>
    <row r="25" spans="1:9" s="24" customFormat="1" x14ac:dyDescent="0.2">
      <c r="A25" s="20" t="s">
        <v>438</v>
      </c>
      <c r="B25" s="20" t="s">
        <v>405</v>
      </c>
      <c r="C25" s="21">
        <v>55.9</v>
      </c>
      <c r="D25" s="26"/>
      <c r="F25" s="68" t="s">
        <v>330</v>
      </c>
      <c r="G25" s="26"/>
      <c r="H25" s="68" t="s">
        <v>381</v>
      </c>
      <c r="I25" s="26"/>
    </row>
    <row r="26" spans="1:9" s="26" customFormat="1" x14ac:dyDescent="0.2">
      <c r="A26" s="20" t="s">
        <v>302</v>
      </c>
      <c r="B26" s="20" t="s">
        <v>388</v>
      </c>
      <c r="C26" s="55">
        <v>210.17</v>
      </c>
      <c r="F26" s="25">
        <f>(H8+H11)/2</f>
        <v>1652.2199999999998</v>
      </c>
      <c r="H26" s="25">
        <f>F26-800</f>
        <v>852.2199999999998</v>
      </c>
    </row>
    <row r="27" spans="1:9" s="26" customFormat="1" x14ac:dyDescent="0.2">
      <c r="A27" s="14"/>
      <c r="B27" s="14"/>
      <c r="C27" s="14"/>
    </row>
    <row r="28" spans="1:9" s="24" customFormat="1" x14ac:dyDescent="0.2">
      <c r="A28"/>
      <c r="B28"/>
      <c r="C28"/>
      <c r="D28" s="26"/>
      <c r="H28" s="71"/>
    </row>
    <row r="29" spans="1:9" s="24" customFormat="1" x14ac:dyDescent="0.2">
      <c r="A29" s="26"/>
      <c r="B29" s="26"/>
      <c r="C29"/>
      <c r="D29" s="26"/>
    </row>
    <row r="30" spans="1:9" s="26" customFormat="1" x14ac:dyDescent="0.2">
      <c r="A30"/>
      <c r="B30"/>
    </row>
    <row r="31" spans="1:9" s="26" customFormat="1" x14ac:dyDescent="0.2">
      <c r="A31" s="74" t="s">
        <v>375</v>
      </c>
      <c r="B31"/>
    </row>
    <row r="32" spans="1:9" s="26" customFormat="1" x14ac:dyDescent="0.2">
      <c r="A32" s="4" t="s">
        <v>411</v>
      </c>
      <c r="B32"/>
    </row>
    <row r="33" spans="1:9" s="26" customFormat="1" x14ac:dyDescent="0.2">
      <c r="A33" s="4" t="s">
        <v>412</v>
      </c>
      <c r="B33"/>
      <c r="I33" s="24"/>
    </row>
    <row r="34" spans="1:9" s="26" customFormat="1" x14ac:dyDescent="0.2">
      <c r="A34" s="4" t="s">
        <v>413</v>
      </c>
      <c r="B34"/>
      <c r="C34"/>
      <c r="H34" s="24"/>
      <c r="I34" s="24"/>
    </row>
    <row r="35" spans="1:9" s="24" customFormat="1" x14ac:dyDescent="0.2">
      <c r="A35" s="11" t="s">
        <v>414</v>
      </c>
      <c r="B35"/>
      <c r="C35"/>
      <c r="D35" s="26"/>
      <c r="F35" s="26"/>
      <c r="G35" s="26"/>
    </row>
    <row r="36" spans="1:9" s="26" customFormat="1" x14ac:dyDescent="0.2">
      <c r="A36" s="72" t="s">
        <v>415</v>
      </c>
      <c r="B36"/>
      <c r="C36"/>
    </row>
    <row r="37" spans="1:9" s="26" customFormat="1" x14ac:dyDescent="0.2">
      <c r="A37" s="72" t="s">
        <v>416</v>
      </c>
      <c r="B37"/>
      <c r="C37"/>
    </row>
    <row r="38" spans="1:9" s="26" customFormat="1" x14ac:dyDescent="0.2">
      <c r="A38" s="72" t="s">
        <v>417</v>
      </c>
      <c r="B38"/>
      <c r="C38"/>
    </row>
    <row r="39" spans="1:9" s="24" customFormat="1" x14ac:dyDescent="0.2">
      <c r="A39" s="72" t="s">
        <v>418</v>
      </c>
      <c r="B39"/>
      <c r="C39"/>
      <c r="D39" s="26"/>
      <c r="F39" s="26"/>
      <c r="G39" s="26"/>
      <c r="I39"/>
    </row>
    <row r="40" spans="1:9" s="24" customFormat="1" x14ac:dyDescent="0.2">
      <c r="A40" s="72" t="s">
        <v>419</v>
      </c>
      <c r="B40" s="44"/>
      <c r="C40"/>
      <c r="D40" s="26"/>
      <c r="F40" s="26"/>
      <c r="I40"/>
    </row>
    <row r="41" spans="1:9" s="24" customFormat="1" x14ac:dyDescent="0.2">
      <c r="A41" s="25" t="s">
        <v>420</v>
      </c>
      <c r="B41" s="44"/>
      <c r="C41"/>
      <c r="D41" s="26"/>
      <c r="F41" s="26"/>
      <c r="G41" s="26"/>
      <c r="I41" s="26"/>
    </row>
    <row r="42" spans="1:9" s="26" customFormat="1" x14ac:dyDescent="0.2">
      <c r="A42" s="75" t="s">
        <v>421</v>
      </c>
      <c r="B42" s="44"/>
      <c r="C42"/>
    </row>
    <row r="43" spans="1:9" s="26" customFormat="1" x14ac:dyDescent="0.2">
      <c r="A43" s="25" t="s">
        <v>422</v>
      </c>
      <c r="B43" s="44"/>
      <c r="C43"/>
      <c r="I43"/>
    </row>
    <row r="44" spans="1:9" x14ac:dyDescent="0.2">
      <c r="A44" s="25" t="s">
        <v>423</v>
      </c>
      <c r="B44" s="44"/>
      <c r="F44" s="26"/>
      <c r="G44" s="26"/>
    </row>
    <row r="45" spans="1:9" x14ac:dyDescent="0.2">
      <c r="A45" s="25" t="s">
        <v>424</v>
      </c>
      <c r="B45" s="26"/>
      <c r="F45" s="26"/>
      <c r="G45" s="26"/>
    </row>
    <row r="46" spans="1:9" s="26" customFormat="1" x14ac:dyDescent="0.2">
      <c r="A46" s="25" t="s">
        <v>425</v>
      </c>
      <c r="C46"/>
      <c r="I46"/>
    </row>
    <row r="47" spans="1:9" s="26" customFormat="1" x14ac:dyDescent="0.2">
      <c r="A47" s="25" t="s">
        <v>426</v>
      </c>
      <c r="C47"/>
      <c r="F47"/>
      <c r="I47"/>
    </row>
    <row r="48" spans="1:9" x14ac:dyDescent="0.2">
      <c r="A48" s="25" t="s">
        <v>427</v>
      </c>
      <c r="B48" s="26"/>
      <c r="G48" s="26"/>
    </row>
    <row r="49" spans="1:6" x14ac:dyDescent="0.2">
      <c r="A49" s="25" t="s">
        <v>428</v>
      </c>
      <c r="B49" s="26"/>
      <c r="F49" s="26"/>
    </row>
    <row r="50" spans="1:6" x14ac:dyDescent="0.2">
      <c r="A50" s="25" t="s">
        <v>429</v>
      </c>
      <c r="F50" s="26"/>
    </row>
    <row r="51" spans="1:6" x14ac:dyDescent="0.2">
      <c r="A51" s="25" t="s">
        <v>430</v>
      </c>
    </row>
    <row r="52" spans="1:6" x14ac:dyDescent="0.2">
      <c r="A52" s="73" t="s">
        <v>431</v>
      </c>
    </row>
    <row r="53" spans="1:6" x14ac:dyDescent="0.2">
      <c r="A53" s="25" t="s">
        <v>432</v>
      </c>
    </row>
    <row r="54" spans="1:6" x14ac:dyDescent="0.2">
      <c r="A54" s="25" t="s">
        <v>433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58"/>
  <sheetViews>
    <sheetView workbookViewId="0">
      <selection activeCell="A21" sqref="A21:C21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435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2383.66</v>
      </c>
      <c r="C3" s="51">
        <v>2383.66</v>
      </c>
      <c r="H3" s="26"/>
    </row>
    <row r="4" spans="1:11" x14ac:dyDescent="0.2">
      <c r="A4" s="26" t="s">
        <v>265</v>
      </c>
      <c r="B4">
        <v>1188.71</v>
      </c>
      <c r="C4">
        <v>1188.71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3572.37</v>
      </c>
      <c r="G8" s="27">
        <f>C9+C10+C11+C12+C13</f>
        <v>1933.9699999999998</v>
      </c>
      <c r="H8" s="27">
        <f>F8-G8</f>
        <v>1638.4</v>
      </c>
    </row>
    <row r="9" spans="1:11" s="24" customFormat="1" x14ac:dyDescent="0.2">
      <c r="A9" s="20" t="s">
        <v>293</v>
      </c>
      <c r="B9" s="20" t="s">
        <v>389</v>
      </c>
      <c r="C9" s="20">
        <v>1215.17</v>
      </c>
      <c r="D9" s="26"/>
      <c r="F9" s="31"/>
      <c r="G9" s="31"/>
      <c r="H9" s="67"/>
      <c r="I9" s="26"/>
    </row>
    <row r="10" spans="1:11" s="24" customFormat="1" x14ac:dyDescent="0.2">
      <c r="A10" s="20" t="s">
        <v>351</v>
      </c>
      <c r="B10" s="20" t="s">
        <v>396</v>
      </c>
      <c r="C10" s="21">
        <v>209.6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320</v>
      </c>
      <c r="B11" s="20" t="s">
        <v>401</v>
      </c>
      <c r="C11" s="21">
        <v>128.05000000000001</v>
      </c>
      <c r="D11" s="26"/>
      <c r="F11" s="33">
        <f>B3+B4</f>
        <v>3572.37</v>
      </c>
      <c r="G11" s="27">
        <f>C16+C17+C18+C19+C20+C21+C22+C23+C24+C25+C26+C27+C28+C29+C30</f>
        <v>2701.13</v>
      </c>
      <c r="H11" s="27">
        <f>F11-G11</f>
        <v>871.23999999999978</v>
      </c>
      <c r="I11" s="26"/>
    </row>
    <row r="12" spans="1:11" s="24" customFormat="1" x14ac:dyDescent="0.2">
      <c r="A12" s="20" t="s">
        <v>321</v>
      </c>
      <c r="B12" s="20" t="s">
        <v>400</v>
      </c>
      <c r="C12" s="21">
        <v>171.55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350</v>
      </c>
      <c r="B13" s="20" t="s">
        <v>396</v>
      </c>
      <c r="C13" s="21">
        <v>209.6</v>
      </c>
      <c r="D13" s="26"/>
      <c r="F13" s="31"/>
      <c r="G13" s="31"/>
      <c r="H13" s="31"/>
    </row>
    <row r="14" spans="1:11" s="24" customFormat="1" x14ac:dyDescent="0.2">
      <c r="A14" s="29"/>
      <c r="B14" s="29"/>
      <c r="C14" s="30"/>
      <c r="D14" s="26"/>
      <c r="F14" s="31"/>
      <c r="G14" s="31"/>
      <c r="H14" s="31"/>
      <c r="I14" s="26"/>
    </row>
    <row r="15" spans="1:11" s="24" customFormat="1" x14ac:dyDescent="0.2">
      <c r="A15" s="32" t="s">
        <v>13</v>
      </c>
      <c r="B15" s="25"/>
      <c r="C15" s="27"/>
      <c r="D15" s="26"/>
      <c r="F15" s="31"/>
      <c r="G15" s="31"/>
      <c r="H15" s="31"/>
      <c r="I15" s="26"/>
    </row>
    <row r="16" spans="1:11" s="24" customFormat="1" x14ac:dyDescent="0.2">
      <c r="A16" s="20" t="s">
        <v>300</v>
      </c>
      <c r="B16" s="20" t="s">
        <v>389</v>
      </c>
      <c r="C16" s="20">
        <v>336</v>
      </c>
      <c r="D16" s="26"/>
      <c r="F16" s="31"/>
      <c r="G16" s="31"/>
      <c r="H16" s="31"/>
      <c r="I16" s="26"/>
    </row>
    <row r="17" spans="1:9" s="24" customFormat="1" x14ac:dyDescent="0.2">
      <c r="A17" s="20" t="s">
        <v>316</v>
      </c>
      <c r="B17" s="20" t="s">
        <v>392</v>
      </c>
      <c r="C17" s="21">
        <v>525</v>
      </c>
      <c r="D17" s="26"/>
      <c r="F17" s="31"/>
      <c r="G17" s="31"/>
      <c r="H17" s="31"/>
      <c r="I17" s="26"/>
    </row>
    <row r="18" spans="1:9" s="24" customFormat="1" x14ac:dyDescent="0.2">
      <c r="A18" s="20" t="s">
        <v>378</v>
      </c>
      <c r="B18" s="20" t="s">
        <v>393</v>
      </c>
      <c r="C18" s="21">
        <v>216.5</v>
      </c>
      <c r="D18" s="26"/>
      <c r="F18" s="31"/>
      <c r="G18" s="31"/>
      <c r="H18" s="31"/>
      <c r="I18" s="26"/>
    </row>
    <row r="19" spans="1:9" s="24" customFormat="1" x14ac:dyDescent="0.2">
      <c r="A19" s="20" t="s">
        <v>379</v>
      </c>
      <c r="B19" s="20" t="s">
        <v>395</v>
      </c>
      <c r="C19" s="21">
        <v>107.81</v>
      </c>
      <c r="D19" s="26"/>
      <c r="F19" s="31"/>
      <c r="G19" s="31"/>
      <c r="H19" s="31"/>
      <c r="I19" s="26"/>
    </row>
    <row r="20" spans="1:9" s="24" customFormat="1" x14ac:dyDescent="0.2">
      <c r="A20" s="20" t="s">
        <v>348</v>
      </c>
      <c r="B20" s="20" t="s">
        <v>396</v>
      </c>
      <c r="C20" s="21">
        <v>209.6</v>
      </c>
      <c r="D20" s="26"/>
      <c r="F20" s="31"/>
      <c r="G20" s="31"/>
      <c r="H20" s="31"/>
      <c r="I20" s="26"/>
    </row>
    <row r="21" spans="1:9" s="24" customFormat="1" x14ac:dyDescent="0.2">
      <c r="A21" s="20" t="s">
        <v>76</v>
      </c>
      <c r="B21" s="20" t="s">
        <v>402</v>
      </c>
      <c r="C21" s="21">
        <v>14.99</v>
      </c>
      <c r="D21" s="26"/>
      <c r="F21" s="31"/>
      <c r="G21" s="31"/>
      <c r="H21" s="31"/>
      <c r="I21" s="26"/>
    </row>
    <row r="22" spans="1:9" s="24" customFormat="1" x14ac:dyDescent="0.2">
      <c r="A22" s="20" t="s">
        <v>311</v>
      </c>
      <c r="B22" s="20" t="s">
        <v>394</v>
      </c>
      <c r="C22" s="21">
        <v>74.900000000000006</v>
      </c>
      <c r="D22" s="26"/>
      <c r="F22" s="31"/>
      <c r="G22" s="31"/>
      <c r="H22" s="31"/>
      <c r="I22" s="26"/>
    </row>
    <row r="23" spans="1:9" s="24" customFormat="1" x14ac:dyDescent="0.2">
      <c r="A23" s="20" t="s">
        <v>79</v>
      </c>
      <c r="B23" s="20" t="s">
        <v>390</v>
      </c>
      <c r="C23" s="21">
        <v>142</v>
      </c>
      <c r="D23" s="26"/>
      <c r="F23" s="31"/>
      <c r="G23" s="31"/>
      <c r="H23" s="31"/>
      <c r="I23" s="26"/>
    </row>
    <row r="24" spans="1:9" s="24" customFormat="1" x14ac:dyDescent="0.2">
      <c r="A24" s="20" t="s">
        <v>349</v>
      </c>
      <c r="B24" s="20" t="s">
        <v>396</v>
      </c>
      <c r="C24" s="21">
        <v>209.6</v>
      </c>
      <c r="D24" s="26"/>
      <c r="F24" s="26"/>
      <c r="G24" s="26"/>
      <c r="H24" s="26"/>
      <c r="I24" s="26"/>
    </row>
    <row r="25" spans="1:9" s="24" customFormat="1" x14ac:dyDescent="0.2">
      <c r="A25" s="20" t="s">
        <v>75</v>
      </c>
      <c r="B25" s="20" t="s">
        <v>395</v>
      </c>
      <c r="C25" s="21">
        <v>256.22000000000003</v>
      </c>
      <c r="D25" s="26"/>
      <c r="F25" s="68" t="s">
        <v>330</v>
      </c>
      <c r="G25" s="26"/>
      <c r="H25" s="68" t="s">
        <v>381</v>
      </c>
      <c r="I25" s="26"/>
    </row>
    <row r="26" spans="1:9" s="26" customFormat="1" x14ac:dyDescent="0.2">
      <c r="A26" s="20" t="s">
        <v>78</v>
      </c>
      <c r="B26" s="20" t="s">
        <v>403</v>
      </c>
      <c r="C26" s="21">
        <v>151.22999999999999</v>
      </c>
      <c r="F26" s="25">
        <f>(H8+H11)/2</f>
        <v>1254.82</v>
      </c>
      <c r="H26" s="25">
        <f>F26-800</f>
        <v>454.81999999999994</v>
      </c>
    </row>
    <row r="27" spans="1:9" s="26" customFormat="1" x14ac:dyDescent="0.2">
      <c r="A27" s="20" t="s">
        <v>267</v>
      </c>
      <c r="B27" s="20" t="s">
        <v>404</v>
      </c>
      <c r="C27" s="55">
        <v>28.13</v>
      </c>
    </row>
    <row r="28" spans="1:9" s="24" customFormat="1" x14ac:dyDescent="0.2">
      <c r="A28" s="20" t="s">
        <v>301</v>
      </c>
      <c r="B28" s="20" t="s">
        <v>391</v>
      </c>
      <c r="C28" s="55">
        <v>158.66</v>
      </c>
      <c r="D28" s="26"/>
      <c r="H28" s="71"/>
    </row>
    <row r="29" spans="1:9" s="24" customFormat="1" x14ac:dyDescent="0.2">
      <c r="A29" s="20" t="s">
        <v>266</v>
      </c>
      <c r="B29" s="20" t="s">
        <v>405</v>
      </c>
      <c r="C29" s="21">
        <v>55.9</v>
      </c>
      <c r="D29" s="26"/>
    </row>
    <row r="30" spans="1:9" s="26" customFormat="1" x14ac:dyDescent="0.2">
      <c r="A30" s="20" t="s">
        <v>302</v>
      </c>
      <c r="B30" s="20" t="s">
        <v>388</v>
      </c>
      <c r="C30" s="55">
        <v>214.59</v>
      </c>
    </row>
    <row r="31" spans="1:9" s="26" customFormat="1" x14ac:dyDescent="0.2">
      <c r="A31" s="14"/>
      <c r="B31" s="14"/>
      <c r="C31" s="14"/>
    </row>
    <row r="32" spans="1:9" s="26" customFormat="1" x14ac:dyDescent="0.2">
      <c r="A32"/>
      <c r="B32"/>
      <c r="C32"/>
    </row>
    <row r="33" spans="1:9" s="26" customFormat="1" x14ac:dyDescent="0.2">
      <c r="C33"/>
      <c r="I33" s="24"/>
    </row>
    <row r="34" spans="1:9" s="26" customFormat="1" x14ac:dyDescent="0.2">
      <c r="A34"/>
      <c r="B34"/>
      <c r="H34" s="24"/>
      <c r="I34" s="24"/>
    </row>
    <row r="35" spans="1:9" s="24" customFormat="1" x14ac:dyDescent="0.2">
      <c r="A35" s="74" t="s">
        <v>375</v>
      </c>
      <c r="B35"/>
      <c r="C35" s="26"/>
      <c r="D35" s="26"/>
      <c r="F35" s="26"/>
      <c r="G35" s="26"/>
    </row>
    <row r="36" spans="1:9" s="26" customFormat="1" x14ac:dyDescent="0.2">
      <c r="A36" s="4" t="s">
        <v>411</v>
      </c>
      <c r="B36"/>
    </row>
    <row r="37" spans="1:9" s="26" customFormat="1" x14ac:dyDescent="0.2">
      <c r="A37" s="4" t="s">
        <v>412</v>
      </c>
      <c r="B37"/>
    </row>
    <row r="38" spans="1:9" s="26" customFormat="1" x14ac:dyDescent="0.2">
      <c r="A38" s="4" t="s">
        <v>413</v>
      </c>
      <c r="B38"/>
      <c r="C38"/>
    </row>
    <row r="39" spans="1:9" s="24" customFormat="1" x14ac:dyDescent="0.2">
      <c r="A39" s="11" t="s">
        <v>414</v>
      </c>
      <c r="B39"/>
      <c r="C39"/>
      <c r="D39" s="26"/>
      <c r="F39" s="26"/>
      <c r="G39" s="26"/>
      <c r="I39"/>
    </row>
    <row r="40" spans="1:9" s="24" customFormat="1" x14ac:dyDescent="0.2">
      <c r="A40" s="72" t="s">
        <v>415</v>
      </c>
      <c r="B40"/>
      <c r="C40"/>
      <c r="D40" s="26"/>
      <c r="F40" s="26"/>
      <c r="I40"/>
    </row>
    <row r="41" spans="1:9" s="24" customFormat="1" x14ac:dyDescent="0.2">
      <c r="A41" s="72" t="s">
        <v>416</v>
      </c>
      <c r="B41"/>
      <c r="C41"/>
      <c r="D41" s="26"/>
      <c r="F41" s="26"/>
      <c r="G41" s="26"/>
      <c r="I41" s="26"/>
    </row>
    <row r="42" spans="1:9" s="26" customFormat="1" x14ac:dyDescent="0.2">
      <c r="A42" s="72" t="s">
        <v>417</v>
      </c>
      <c r="B42"/>
      <c r="C42"/>
    </row>
    <row r="43" spans="1:9" s="26" customFormat="1" x14ac:dyDescent="0.2">
      <c r="A43" s="72" t="s">
        <v>418</v>
      </c>
      <c r="B43"/>
      <c r="C43"/>
      <c r="I43"/>
    </row>
    <row r="44" spans="1:9" x14ac:dyDescent="0.2">
      <c r="A44" s="72" t="s">
        <v>419</v>
      </c>
      <c r="B44" s="44"/>
      <c r="F44" s="26"/>
      <c r="G44" s="26"/>
    </row>
    <row r="45" spans="1:9" x14ac:dyDescent="0.2">
      <c r="A45" s="25" t="s">
        <v>420</v>
      </c>
      <c r="B45" s="44"/>
      <c r="F45" s="26"/>
      <c r="G45" s="26"/>
    </row>
    <row r="46" spans="1:9" s="26" customFormat="1" x14ac:dyDescent="0.2">
      <c r="A46" s="75" t="s">
        <v>421</v>
      </c>
      <c r="B46" s="44"/>
      <c r="C46"/>
      <c r="I46"/>
    </row>
    <row r="47" spans="1:9" s="26" customFormat="1" x14ac:dyDescent="0.2">
      <c r="A47" s="25" t="s">
        <v>422</v>
      </c>
      <c r="B47" s="44"/>
      <c r="C47"/>
      <c r="F47"/>
      <c r="I47"/>
    </row>
    <row r="48" spans="1:9" x14ac:dyDescent="0.2">
      <c r="A48" s="25" t="s">
        <v>423</v>
      </c>
      <c r="B48" s="44"/>
      <c r="G48" s="26"/>
    </row>
    <row r="49" spans="1:6" x14ac:dyDescent="0.2">
      <c r="A49" s="25" t="s">
        <v>424</v>
      </c>
      <c r="B49" s="26"/>
      <c r="F49" s="26"/>
    </row>
    <row r="50" spans="1:6" x14ac:dyDescent="0.2">
      <c r="A50" s="25" t="s">
        <v>425</v>
      </c>
      <c r="B50" s="26"/>
      <c r="F50" s="26"/>
    </row>
    <row r="51" spans="1:6" x14ac:dyDescent="0.2">
      <c r="A51" s="25" t="s">
        <v>426</v>
      </c>
      <c r="B51" s="26"/>
    </row>
    <row r="52" spans="1:6" x14ac:dyDescent="0.2">
      <c r="A52" s="25" t="s">
        <v>427</v>
      </c>
      <c r="B52" s="26"/>
    </row>
    <row r="53" spans="1:6" x14ac:dyDescent="0.2">
      <c r="A53" s="25" t="s">
        <v>428</v>
      </c>
      <c r="B53" s="26"/>
    </row>
    <row r="54" spans="1:6" x14ac:dyDescent="0.2">
      <c r="A54" s="25" t="s">
        <v>429</v>
      </c>
    </row>
    <row r="55" spans="1:6" x14ac:dyDescent="0.2">
      <c r="A55" s="25" t="s">
        <v>430</v>
      </c>
    </row>
    <row r="56" spans="1:6" x14ac:dyDescent="0.2">
      <c r="A56" s="73" t="s">
        <v>431</v>
      </c>
    </row>
    <row r="57" spans="1:6" x14ac:dyDescent="0.2">
      <c r="A57" s="25" t="s">
        <v>432</v>
      </c>
    </row>
    <row r="58" spans="1:6" x14ac:dyDescent="0.2">
      <c r="A58" s="25" t="s">
        <v>433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58"/>
  <sheetViews>
    <sheetView workbookViewId="0">
      <selection activeCell="A26" sqref="A26:C26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434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2293.6</v>
      </c>
      <c r="C3" s="51">
        <v>2293.61</v>
      </c>
      <c r="H3" s="26"/>
    </row>
    <row r="4" spans="1:11" x14ac:dyDescent="0.2">
      <c r="A4" s="26" t="s">
        <v>265</v>
      </c>
      <c r="B4">
        <v>1188.71</v>
      </c>
      <c r="C4">
        <v>1188.71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3482.31</v>
      </c>
      <c r="G8" s="27">
        <f>C9+C10+C11+C12+C13</f>
        <v>1933.9699999999998</v>
      </c>
      <c r="H8" s="27">
        <f>F8-G8</f>
        <v>1548.3400000000001</v>
      </c>
    </row>
    <row r="9" spans="1:11" s="24" customFormat="1" x14ac:dyDescent="0.2">
      <c r="A9" s="20" t="s">
        <v>293</v>
      </c>
      <c r="B9" s="20" t="s">
        <v>389</v>
      </c>
      <c r="C9" s="20">
        <v>1215.17</v>
      </c>
      <c r="D9" s="26"/>
      <c r="F9" s="31"/>
      <c r="G9" s="31"/>
      <c r="H9" s="67"/>
      <c r="I9" s="26"/>
    </row>
    <row r="10" spans="1:11" s="24" customFormat="1" x14ac:dyDescent="0.2">
      <c r="A10" s="20" t="s">
        <v>351</v>
      </c>
      <c r="B10" s="20" t="s">
        <v>396</v>
      </c>
      <c r="C10" s="21">
        <v>209.6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320</v>
      </c>
      <c r="B11" s="20" t="s">
        <v>401</v>
      </c>
      <c r="C11" s="21">
        <v>128.05000000000001</v>
      </c>
      <c r="D11" s="26"/>
      <c r="F11" s="33">
        <f>B3+B4</f>
        <v>3482.31</v>
      </c>
      <c r="G11" s="27">
        <f>C16+C17+C18+C19+C20+C21+C22+C23+C24+C25+C26+C27+C28+C29+C30</f>
        <v>2697.73</v>
      </c>
      <c r="H11" s="27">
        <f>F11-G11</f>
        <v>784.57999999999993</v>
      </c>
      <c r="I11" s="26"/>
    </row>
    <row r="12" spans="1:11" s="24" customFormat="1" x14ac:dyDescent="0.2">
      <c r="A12" s="20" t="s">
        <v>321</v>
      </c>
      <c r="B12" s="20" t="s">
        <v>400</v>
      </c>
      <c r="C12" s="21">
        <v>171.55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350</v>
      </c>
      <c r="B13" s="20" t="s">
        <v>396</v>
      </c>
      <c r="C13" s="21">
        <v>209.6</v>
      </c>
      <c r="D13" s="26"/>
      <c r="F13" s="31"/>
      <c r="G13" s="31"/>
      <c r="H13" s="31"/>
    </row>
    <row r="14" spans="1:11" s="24" customFormat="1" x14ac:dyDescent="0.2">
      <c r="A14" s="29"/>
      <c r="B14" s="29"/>
      <c r="C14" s="30"/>
      <c r="D14" s="26"/>
      <c r="F14" s="31"/>
      <c r="G14" s="31"/>
      <c r="H14" s="31"/>
      <c r="I14" s="26"/>
    </row>
    <row r="15" spans="1:11" s="24" customFormat="1" x14ac:dyDescent="0.2">
      <c r="A15" s="32" t="s">
        <v>13</v>
      </c>
      <c r="B15" s="25"/>
      <c r="C15" s="27"/>
      <c r="D15" s="26"/>
      <c r="F15" s="31"/>
      <c r="G15" s="31"/>
      <c r="H15" s="31"/>
      <c r="I15" s="26"/>
    </row>
    <row r="16" spans="1:11" s="24" customFormat="1" x14ac:dyDescent="0.2">
      <c r="A16" s="20" t="s">
        <v>300</v>
      </c>
      <c r="B16" s="20" t="s">
        <v>389</v>
      </c>
      <c r="C16" s="20">
        <v>336</v>
      </c>
      <c r="D16" s="26"/>
      <c r="F16" s="31"/>
      <c r="G16" s="31"/>
      <c r="H16" s="31"/>
      <c r="I16" s="26"/>
    </row>
    <row r="17" spans="1:9" s="24" customFormat="1" x14ac:dyDescent="0.2">
      <c r="A17" s="20" t="s">
        <v>316</v>
      </c>
      <c r="B17" s="20" t="s">
        <v>392</v>
      </c>
      <c r="C17" s="21">
        <v>525</v>
      </c>
      <c r="D17" s="26"/>
      <c r="F17" s="31"/>
      <c r="G17" s="31"/>
      <c r="H17" s="31"/>
      <c r="I17" s="26"/>
    </row>
    <row r="18" spans="1:9" s="24" customFormat="1" x14ac:dyDescent="0.2">
      <c r="A18" s="20" t="s">
        <v>378</v>
      </c>
      <c r="B18" s="20" t="s">
        <v>393</v>
      </c>
      <c r="C18" s="21">
        <v>216.5</v>
      </c>
      <c r="D18" s="26"/>
      <c r="F18" s="31"/>
      <c r="G18" s="31"/>
      <c r="H18" s="31"/>
      <c r="I18" s="26"/>
    </row>
    <row r="19" spans="1:9" s="24" customFormat="1" x14ac:dyDescent="0.2">
      <c r="A19" s="20" t="s">
        <v>379</v>
      </c>
      <c r="B19" s="20" t="s">
        <v>395</v>
      </c>
      <c r="C19" s="21">
        <v>107.81</v>
      </c>
      <c r="D19" s="26"/>
      <c r="F19" s="31"/>
      <c r="G19" s="31"/>
      <c r="H19" s="31"/>
      <c r="I19" s="26"/>
    </row>
    <row r="20" spans="1:9" s="24" customFormat="1" x14ac:dyDescent="0.2">
      <c r="A20" s="20" t="s">
        <v>348</v>
      </c>
      <c r="B20" s="20" t="s">
        <v>396</v>
      </c>
      <c r="C20" s="21">
        <v>209.6</v>
      </c>
      <c r="D20" s="26"/>
      <c r="F20" s="31"/>
      <c r="G20" s="31"/>
      <c r="H20" s="31"/>
      <c r="I20" s="26"/>
    </row>
    <row r="21" spans="1:9" s="24" customFormat="1" x14ac:dyDescent="0.2">
      <c r="A21" s="20" t="s">
        <v>76</v>
      </c>
      <c r="B21" s="20" t="s">
        <v>402</v>
      </c>
      <c r="C21" s="21">
        <v>14.99</v>
      </c>
      <c r="D21" s="26"/>
      <c r="F21" s="31"/>
      <c r="G21" s="31"/>
      <c r="H21" s="31"/>
      <c r="I21" s="26"/>
    </row>
    <row r="22" spans="1:9" s="24" customFormat="1" x14ac:dyDescent="0.2">
      <c r="A22" s="20" t="s">
        <v>311</v>
      </c>
      <c r="B22" s="20" t="s">
        <v>394</v>
      </c>
      <c r="C22" s="21">
        <v>74.900000000000006</v>
      </c>
      <c r="D22" s="26"/>
      <c r="F22" s="31"/>
      <c r="G22" s="31"/>
      <c r="H22" s="31"/>
      <c r="I22" s="26"/>
    </row>
    <row r="23" spans="1:9" s="24" customFormat="1" x14ac:dyDescent="0.2">
      <c r="A23" s="20" t="s">
        <v>79</v>
      </c>
      <c r="B23" s="20" t="s">
        <v>390</v>
      </c>
      <c r="C23" s="21">
        <v>142</v>
      </c>
      <c r="D23" s="26"/>
      <c r="F23" s="31"/>
      <c r="G23" s="31"/>
      <c r="H23" s="31"/>
      <c r="I23" s="26"/>
    </row>
    <row r="24" spans="1:9" s="24" customFormat="1" x14ac:dyDescent="0.2">
      <c r="A24" s="20" t="s">
        <v>349</v>
      </c>
      <c r="B24" s="20" t="s">
        <v>396</v>
      </c>
      <c r="C24" s="21">
        <v>209.6</v>
      </c>
      <c r="D24" s="26"/>
      <c r="F24" s="26"/>
      <c r="G24" s="26"/>
      <c r="H24" s="26"/>
      <c r="I24" s="26"/>
    </row>
    <row r="25" spans="1:9" s="24" customFormat="1" x14ac:dyDescent="0.2">
      <c r="A25" s="20" t="s">
        <v>75</v>
      </c>
      <c r="B25" s="20" t="s">
        <v>395</v>
      </c>
      <c r="C25" s="21">
        <v>256.22000000000003</v>
      </c>
      <c r="D25" s="26"/>
      <c r="F25" s="68" t="s">
        <v>330</v>
      </c>
      <c r="G25" s="26"/>
      <c r="H25" s="68" t="s">
        <v>381</v>
      </c>
      <c r="I25" s="26"/>
    </row>
    <row r="26" spans="1:9" s="26" customFormat="1" x14ac:dyDescent="0.2">
      <c r="A26" s="20" t="s">
        <v>78</v>
      </c>
      <c r="B26" s="20" t="s">
        <v>403</v>
      </c>
      <c r="C26" s="21">
        <v>151.22999999999999</v>
      </c>
      <c r="F26" s="25">
        <f>(H8+H11)/2</f>
        <v>1166.46</v>
      </c>
      <c r="H26" s="25">
        <f>F26-800</f>
        <v>366.46000000000004</v>
      </c>
    </row>
    <row r="27" spans="1:9" s="26" customFormat="1" x14ac:dyDescent="0.2">
      <c r="A27" s="20" t="s">
        <v>267</v>
      </c>
      <c r="B27" s="20" t="s">
        <v>404</v>
      </c>
      <c r="C27" s="55">
        <v>28.13</v>
      </c>
    </row>
    <row r="28" spans="1:9" s="24" customFormat="1" x14ac:dyDescent="0.2">
      <c r="A28" s="20" t="s">
        <v>301</v>
      </c>
      <c r="B28" s="20" t="s">
        <v>391</v>
      </c>
      <c r="C28" s="55">
        <v>158.66</v>
      </c>
      <c r="D28" s="26"/>
      <c r="H28" s="71"/>
    </row>
    <row r="29" spans="1:9" s="24" customFormat="1" x14ac:dyDescent="0.2">
      <c r="A29" s="20" t="s">
        <v>266</v>
      </c>
      <c r="B29" s="20" t="s">
        <v>405</v>
      </c>
      <c r="C29" s="21">
        <v>55.9</v>
      </c>
      <c r="D29" s="26"/>
    </row>
    <row r="30" spans="1:9" s="26" customFormat="1" x14ac:dyDescent="0.2">
      <c r="A30" s="20" t="s">
        <v>302</v>
      </c>
      <c r="B30" s="20" t="s">
        <v>388</v>
      </c>
      <c r="C30" s="55">
        <v>211.19</v>
      </c>
      <c r="F30" s="26">
        <v>1893.7</v>
      </c>
    </row>
    <row r="31" spans="1:9" s="26" customFormat="1" x14ac:dyDescent="0.2">
      <c r="A31" s="14"/>
      <c r="B31" s="14"/>
      <c r="C31" s="14"/>
    </row>
    <row r="32" spans="1:9" s="26" customFormat="1" x14ac:dyDescent="0.2">
      <c r="A32"/>
      <c r="B32"/>
      <c r="C32"/>
    </row>
    <row r="33" spans="1:9" s="26" customFormat="1" x14ac:dyDescent="0.2">
      <c r="C33"/>
      <c r="I33" s="24"/>
    </row>
    <row r="34" spans="1:9" s="26" customFormat="1" x14ac:dyDescent="0.2">
      <c r="A34"/>
      <c r="B34"/>
      <c r="H34" s="24"/>
      <c r="I34" s="24"/>
    </row>
    <row r="35" spans="1:9" s="24" customFormat="1" x14ac:dyDescent="0.2">
      <c r="A35" s="74" t="s">
        <v>375</v>
      </c>
      <c r="B35"/>
      <c r="C35" s="26"/>
      <c r="D35" s="26"/>
      <c r="F35" s="26"/>
      <c r="G35" s="26"/>
    </row>
    <row r="36" spans="1:9" s="26" customFormat="1" x14ac:dyDescent="0.2">
      <c r="A36" s="4" t="s">
        <v>411</v>
      </c>
      <c r="B36"/>
    </row>
    <row r="37" spans="1:9" s="26" customFormat="1" x14ac:dyDescent="0.2">
      <c r="A37" s="4" t="s">
        <v>412</v>
      </c>
      <c r="B37"/>
    </row>
    <row r="38" spans="1:9" s="26" customFormat="1" x14ac:dyDescent="0.2">
      <c r="A38" s="4" t="s">
        <v>413</v>
      </c>
      <c r="B38"/>
      <c r="C38"/>
    </row>
    <row r="39" spans="1:9" s="24" customFormat="1" x14ac:dyDescent="0.2">
      <c r="A39" s="11" t="s">
        <v>414</v>
      </c>
      <c r="B39"/>
      <c r="C39"/>
      <c r="D39" s="26"/>
      <c r="F39" s="26"/>
      <c r="G39" s="26"/>
      <c r="I39"/>
    </row>
    <row r="40" spans="1:9" s="24" customFormat="1" x14ac:dyDescent="0.2">
      <c r="A40" s="72" t="s">
        <v>415</v>
      </c>
      <c r="B40"/>
      <c r="C40"/>
      <c r="D40" s="26"/>
      <c r="F40" s="26"/>
      <c r="I40"/>
    </row>
    <row r="41" spans="1:9" s="24" customFormat="1" x14ac:dyDescent="0.2">
      <c r="A41" s="72" t="s">
        <v>416</v>
      </c>
      <c r="B41"/>
      <c r="C41"/>
      <c r="D41" s="26"/>
      <c r="F41" s="26"/>
      <c r="G41" s="26"/>
      <c r="I41" s="26"/>
    </row>
    <row r="42" spans="1:9" s="26" customFormat="1" x14ac:dyDescent="0.2">
      <c r="A42" s="72" t="s">
        <v>417</v>
      </c>
      <c r="B42"/>
      <c r="C42"/>
    </row>
    <row r="43" spans="1:9" s="26" customFormat="1" x14ac:dyDescent="0.2">
      <c r="A43" s="72" t="s">
        <v>418</v>
      </c>
      <c r="B43"/>
      <c r="C43"/>
      <c r="I43"/>
    </row>
    <row r="44" spans="1:9" x14ac:dyDescent="0.2">
      <c r="A44" s="72" t="s">
        <v>419</v>
      </c>
      <c r="B44" s="44"/>
      <c r="F44" s="26"/>
      <c r="G44" s="26"/>
    </row>
    <row r="45" spans="1:9" x14ac:dyDescent="0.2">
      <c r="A45" s="25" t="s">
        <v>420</v>
      </c>
      <c r="B45" s="44"/>
      <c r="F45" s="26"/>
      <c r="G45" s="26"/>
    </row>
    <row r="46" spans="1:9" s="26" customFormat="1" x14ac:dyDescent="0.2">
      <c r="A46" s="75" t="s">
        <v>421</v>
      </c>
      <c r="B46" s="44"/>
      <c r="C46"/>
      <c r="I46"/>
    </row>
    <row r="47" spans="1:9" s="26" customFormat="1" x14ac:dyDescent="0.2">
      <c r="A47" s="25" t="s">
        <v>422</v>
      </c>
      <c r="B47" s="44"/>
      <c r="C47"/>
      <c r="F47"/>
      <c r="I47"/>
    </row>
    <row r="48" spans="1:9" x14ac:dyDescent="0.2">
      <c r="A48" s="25" t="s">
        <v>423</v>
      </c>
      <c r="B48" s="44"/>
      <c r="G48" s="26"/>
    </row>
    <row r="49" spans="1:6" x14ac:dyDescent="0.2">
      <c r="A49" s="25" t="s">
        <v>424</v>
      </c>
      <c r="B49" s="26"/>
      <c r="F49" s="26"/>
    </row>
    <row r="50" spans="1:6" x14ac:dyDescent="0.2">
      <c r="A50" s="25" t="s">
        <v>425</v>
      </c>
      <c r="B50" s="26"/>
      <c r="F50" s="26"/>
    </row>
    <row r="51" spans="1:6" x14ac:dyDescent="0.2">
      <c r="A51" s="25" t="s">
        <v>426</v>
      </c>
      <c r="B51" s="26"/>
    </row>
    <row r="52" spans="1:6" x14ac:dyDescent="0.2">
      <c r="A52" s="25" t="s">
        <v>427</v>
      </c>
      <c r="B52" s="26"/>
    </row>
    <row r="53" spans="1:6" x14ac:dyDescent="0.2">
      <c r="A53" s="25" t="s">
        <v>428</v>
      </c>
      <c r="B53" s="26"/>
    </row>
    <row r="54" spans="1:6" x14ac:dyDescent="0.2">
      <c r="A54" s="25" t="s">
        <v>429</v>
      </c>
    </row>
    <row r="55" spans="1:6" x14ac:dyDescent="0.2">
      <c r="A55" s="25" t="s">
        <v>430</v>
      </c>
    </row>
    <row r="56" spans="1:6" x14ac:dyDescent="0.2">
      <c r="A56" s="73" t="s">
        <v>431</v>
      </c>
    </row>
    <row r="57" spans="1:6" x14ac:dyDescent="0.2">
      <c r="A57" s="25" t="s">
        <v>432</v>
      </c>
    </row>
    <row r="58" spans="1:6" x14ac:dyDescent="0.2">
      <c r="A58" s="25" t="s">
        <v>433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58"/>
  <sheetViews>
    <sheetView workbookViewId="0">
      <selection activeCell="A24" sqref="A24:C24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410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2293.6</v>
      </c>
      <c r="C3" s="51">
        <v>2293.61</v>
      </c>
      <c r="H3" s="26"/>
    </row>
    <row r="4" spans="1:11" x14ac:dyDescent="0.2">
      <c r="A4" s="26" t="s">
        <v>265</v>
      </c>
      <c r="B4">
        <v>1188.71</v>
      </c>
      <c r="C4">
        <v>1188.71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3482.31</v>
      </c>
      <c r="G8" s="27">
        <f>C9+C10+C11+C12+C13</f>
        <v>1933.9699999999998</v>
      </c>
      <c r="H8" s="27">
        <f>F8-G8</f>
        <v>1548.3400000000001</v>
      </c>
    </row>
    <row r="9" spans="1:11" s="24" customFormat="1" x14ac:dyDescent="0.2">
      <c r="A9" s="20" t="s">
        <v>293</v>
      </c>
      <c r="B9" s="20" t="s">
        <v>389</v>
      </c>
      <c r="C9" s="20">
        <v>1215.17</v>
      </c>
      <c r="D9" s="26"/>
      <c r="F9" s="31"/>
      <c r="G9" s="31"/>
      <c r="H9" s="67"/>
      <c r="I9" s="26"/>
    </row>
    <row r="10" spans="1:11" s="24" customFormat="1" x14ac:dyDescent="0.2">
      <c r="A10" s="20" t="s">
        <v>351</v>
      </c>
      <c r="B10" s="20" t="s">
        <v>396</v>
      </c>
      <c r="C10" s="21">
        <v>209.6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320</v>
      </c>
      <c r="B11" s="20" t="s">
        <v>401</v>
      </c>
      <c r="C11" s="21">
        <v>128.05000000000001</v>
      </c>
      <c r="D11" s="26"/>
      <c r="F11" s="33">
        <f>B3+B4</f>
        <v>3482.31</v>
      </c>
      <c r="G11" s="27">
        <f>C16+C17+C18+C19+C20+C21+C22+C23+C24+C25+C26+C27+C28+C29+C30</f>
        <v>2693.46</v>
      </c>
      <c r="H11" s="27">
        <f>F11-G11</f>
        <v>788.84999999999991</v>
      </c>
      <c r="I11" s="26"/>
    </row>
    <row r="12" spans="1:11" s="24" customFormat="1" x14ac:dyDescent="0.2">
      <c r="A12" s="20" t="s">
        <v>321</v>
      </c>
      <c r="B12" s="20" t="s">
        <v>400</v>
      </c>
      <c r="C12" s="21">
        <v>171.55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350</v>
      </c>
      <c r="B13" s="20" t="s">
        <v>396</v>
      </c>
      <c r="C13" s="21">
        <v>209.6</v>
      </c>
      <c r="D13" s="26"/>
      <c r="F13" s="31"/>
      <c r="G13" s="31"/>
      <c r="H13" s="31"/>
    </row>
    <row r="14" spans="1:11" s="24" customFormat="1" x14ac:dyDescent="0.2">
      <c r="A14" s="29"/>
      <c r="B14" s="29"/>
      <c r="C14" s="30"/>
      <c r="D14" s="26"/>
      <c r="F14" s="31"/>
      <c r="G14" s="31"/>
      <c r="H14" s="31"/>
      <c r="I14" s="26"/>
    </row>
    <row r="15" spans="1:11" s="24" customFormat="1" x14ac:dyDescent="0.2">
      <c r="A15" s="32" t="s">
        <v>13</v>
      </c>
      <c r="B15" s="25"/>
      <c r="C15" s="27"/>
      <c r="D15" s="26"/>
      <c r="F15" s="31"/>
      <c r="G15" s="31"/>
      <c r="H15" s="31"/>
      <c r="I15" s="26"/>
    </row>
    <row r="16" spans="1:11" s="24" customFormat="1" x14ac:dyDescent="0.2">
      <c r="A16" s="20" t="s">
        <v>300</v>
      </c>
      <c r="B16" s="20" t="s">
        <v>389</v>
      </c>
      <c r="C16" s="20">
        <v>336</v>
      </c>
      <c r="D16" s="26"/>
      <c r="F16" s="31"/>
      <c r="G16" s="31"/>
      <c r="H16" s="31"/>
      <c r="I16" s="26"/>
    </row>
    <row r="17" spans="1:9" s="24" customFormat="1" x14ac:dyDescent="0.2">
      <c r="A17" s="20" t="s">
        <v>316</v>
      </c>
      <c r="B17" s="20" t="s">
        <v>392</v>
      </c>
      <c r="C17" s="21">
        <v>525</v>
      </c>
      <c r="D17" s="26"/>
      <c r="F17" s="31"/>
      <c r="G17" s="31"/>
      <c r="H17" s="31"/>
      <c r="I17" s="26"/>
    </row>
    <row r="18" spans="1:9" s="24" customFormat="1" x14ac:dyDescent="0.2">
      <c r="A18" s="20" t="s">
        <v>378</v>
      </c>
      <c r="B18" s="20" t="s">
        <v>393</v>
      </c>
      <c r="C18" s="21">
        <v>216.5</v>
      </c>
      <c r="D18" s="26"/>
      <c r="F18" s="31"/>
      <c r="G18" s="31"/>
      <c r="H18" s="31"/>
      <c r="I18" s="26"/>
    </row>
    <row r="19" spans="1:9" s="24" customFormat="1" x14ac:dyDescent="0.2">
      <c r="A19" s="20" t="s">
        <v>379</v>
      </c>
      <c r="B19" s="20" t="s">
        <v>395</v>
      </c>
      <c r="C19" s="21">
        <v>107.81</v>
      </c>
      <c r="D19" s="26"/>
      <c r="F19" s="31"/>
      <c r="G19" s="31"/>
      <c r="H19" s="31"/>
      <c r="I19" s="26"/>
    </row>
    <row r="20" spans="1:9" s="24" customFormat="1" x14ac:dyDescent="0.2">
      <c r="A20" s="20" t="s">
        <v>348</v>
      </c>
      <c r="B20" s="20" t="s">
        <v>396</v>
      </c>
      <c r="C20" s="21">
        <v>209.6</v>
      </c>
      <c r="D20" s="26"/>
      <c r="F20" s="31"/>
      <c r="G20" s="31"/>
      <c r="H20" s="31"/>
      <c r="I20" s="26"/>
    </row>
    <row r="21" spans="1:9" s="24" customFormat="1" x14ac:dyDescent="0.2">
      <c r="A21" s="20" t="s">
        <v>76</v>
      </c>
      <c r="B21" s="20" t="s">
        <v>402</v>
      </c>
      <c r="C21" s="21">
        <v>14.99</v>
      </c>
      <c r="D21" s="26"/>
      <c r="F21" s="31"/>
      <c r="G21" s="31"/>
      <c r="H21" s="31"/>
      <c r="I21" s="26"/>
    </row>
    <row r="22" spans="1:9" s="24" customFormat="1" x14ac:dyDescent="0.2">
      <c r="A22" s="20" t="s">
        <v>311</v>
      </c>
      <c r="B22" s="20" t="s">
        <v>394</v>
      </c>
      <c r="C22" s="21">
        <v>74.900000000000006</v>
      </c>
      <c r="D22" s="26"/>
      <c r="F22" s="31"/>
      <c r="G22" s="31"/>
      <c r="H22" s="31"/>
      <c r="I22" s="26"/>
    </row>
    <row r="23" spans="1:9" s="24" customFormat="1" x14ac:dyDescent="0.2">
      <c r="A23" s="20" t="s">
        <v>79</v>
      </c>
      <c r="B23" s="20" t="s">
        <v>390</v>
      </c>
      <c r="C23" s="21">
        <v>142</v>
      </c>
      <c r="D23" s="26"/>
      <c r="F23" s="31"/>
      <c r="G23" s="31"/>
      <c r="H23" s="31"/>
      <c r="I23" s="26"/>
    </row>
    <row r="24" spans="1:9" s="24" customFormat="1" x14ac:dyDescent="0.2">
      <c r="A24" s="20" t="s">
        <v>349</v>
      </c>
      <c r="B24" s="20" t="s">
        <v>396</v>
      </c>
      <c r="C24" s="21">
        <v>209.6</v>
      </c>
      <c r="D24" s="26"/>
      <c r="F24" s="26"/>
      <c r="G24" s="26"/>
      <c r="H24" s="26"/>
      <c r="I24" s="26"/>
    </row>
    <row r="25" spans="1:9" s="24" customFormat="1" x14ac:dyDescent="0.2">
      <c r="A25" s="20" t="s">
        <v>75</v>
      </c>
      <c r="B25" s="20" t="s">
        <v>395</v>
      </c>
      <c r="C25" s="21">
        <v>256.22000000000003</v>
      </c>
      <c r="D25" s="26"/>
      <c r="F25" s="68" t="s">
        <v>330</v>
      </c>
      <c r="G25" s="26"/>
      <c r="H25" s="68" t="s">
        <v>381</v>
      </c>
      <c r="I25" s="26"/>
    </row>
    <row r="26" spans="1:9" s="26" customFormat="1" x14ac:dyDescent="0.2">
      <c r="A26" s="20" t="s">
        <v>78</v>
      </c>
      <c r="B26" s="20" t="s">
        <v>403</v>
      </c>
      <c r="C26" s="21">
        <v>151.22999999999999</v>
      </c>
      <c r="F26" s="25">
        <f>(H8+H11)/2</f>
        <v>1168.595</v>
      </c>
      <c r="H26" s="25">
        <f>F26-800</f>
        <v>368.59500000000003</v>
      </c>
    </row>
    <row r="27" spans="1:9" s="26" customFormat="1" x14ac:dyDescent="0.2">
      <c r="A27" s="20" t="s">
        <v>267</v>
      </c>
      <c r="B27" s="20" t="s">
        <v>404</v>
      </c>
      <c r="C27" s="55">
        <v>28.13</v>
      </c>
    </row>
    <row r="28" spans="1:9" s="24" customFormat="1" x14ac:dyDescent="0.2">
      <c r="A28" s="20" t="s">
        <v>301</v>
      </c>
      <c r="B28" s="20" t="s">
        <v>391</v>
      </c>
      <c r="C28" s="55">
        <v>165.04</v>
      </c>
      <c r="D28" s="26"/>
      <c r="H28" s="71"/>
    </row>
    <row r="29" spans="1:9" s="24" customFormat="1" x14ac:dyDescent="0.2">
      <c r="A29" s="20" t="s">
        <v>266</v>
      </c>
      <c r="B29" s="20" t="s">
        <v>405</v>
      </c>
      <c r="C29" s="21">
        <v>55.9</v>
      </c>
      <c r="D29" s="26"/>
    </row>
    <row r="30" spans="1:9" s="26" customFormat="1" x14ac:dyDescent="0.2">
      <c r="A30" s="20" t="s">
        <v>302</v>
      </c>
      <c r="B30" s="20" t="s">
        <v>388</v>
      </c>
      <c r="C30" s="55">
        <v>200.54</v>
      </c>
    </row>
    <row r="31" spans="1:9" s="26" customFormat="1" x14ac:dyDescent="0.2">
      <c r="A31" s="14"/>
      <c r="B31" s="14"/>
      <c r="C31" s="14"/>
    </row>
    <row r="32" spans="1:9" s="26" customFormat="1" x14ac:dyDescent="0.2">
      <c r="A32"/>
      <c r="B32"/>
      <c r="C32"/>
    </row>
    <row r="33" spans="1:9" s="26" customFormat="1" x14ac:dyDescent="0.2">
      <c r="C33"/>
      <c r="F33" s="26">
        <v>2431</v>
      </c>
      <c r="I33" s="24"/>
    </row>
    <row r="34" spans="1:9" s="26" customFormat="1" x14ac:dyDescent="0.2">
      <c r="A34"/>
      <c r="B34"/>
      <c r="H34" s="24"/>
      <c r="I34" s="24"/>
    </row>
    <row r="35" spans="1:9" s="24" customFormat="1" x14ac:dyDescent="0.2">
      <c r="A35" s="74" t="s">
        <v>375</v>
      </c>
      <c r="B35"/>
      <c r="C35" s="26"/>
      <c r="D35" s="26"/>
      <c r="F35" s="26"/>
      <c r="G35" s="26"/>
    </row>
    <row r="36" spans="1:9" s="26" customFormat="1" x14ac:dyDescent="0.2">
      <c r="A36" s="4" t="s">
        <v>411</v>
      </c>
      <c r="B36"/>
    </row>
    <row r="37" spans="1:9" s="26" customFormat="1" x14ac:dyDescent="0.2">
      <c r="A37" s="4" t="s">
        <v>412</v>
      </c>
      <c r="B37"/>
    </row>
    <row r="38" spans="1:9" s="26" customFormat="1" x14ac:dyDescent="0.2">
      <c r="A38" s="4" t="s">
        <v>413</v>
      </c>
      <c r="B38"/>
      <c r="C38"/>
    </row>
    <row r="39" spans="1:9" s="24" customFormat="1" x14ac:dyDescent="0.2">
      <c r="A39" s="11" t="s">
        <v>414</v>
      </c>
      <c r="B39"/>
      <c r="C39"/>
      <c r="D39" s="26"/>
      <c r="F39" s="26"/>
      <c r="G39" s="26"/>
      <c r="I39"/>
    </row>
    <row r="40" spans="1:9" s="24" customFormat="1" x14ac:dyDescent="0.2">
      <c r="A40" s="72" t="s">
        <v>415</v>
      </c>
      <c r="B40"/>
      <c r="C40"/>
      <c r="D40" s="26"/>
      <c r="F40" s="26"/>
      <c r="I40"/>
    </row>
    <row r="41" spans="1:9" s="24" customFormat="1" x14ac:dyDescent="0.2">
      <c r="A41" s="72" t="s">
        <v>416</v>
      </c>
      <c r="B41"/>
      <c r="C41"/>
      <c r="D41" s="26"/>
      <c r="F41" s="26"/>
      <c r="G41" s="26"/>
      <c r="I41" s="26"/>
    </row>
    <row r="42" spans="1:9" s="26" customFormat="1" x14ac:dyDescent="0.2">
      <c r="A42" s="72" t="s">
        <v>417</v>
      </c>
      <c r="B42"/>
      <c r="C42"/>
    </row>
    <row r="43" spans="1:9" s="26" customFormat="1" x14ac:dyDescent="0.2">
      <c r="A43" s="72" t="s">
        <v>418</v>
      </c>
      <c r="B43"/>
      <c r="C43"/>
      <c r="I43"/>
    </row>
    <row r="44" spans="1:9" x14ac:dyDescent="0.2">
      <c r="A44" s="72" t="s">
        <v>419</v>
      </c>
      <c r="B44" s="44"/>
      <c r="F44" s="26"/>
      <c r="G44" s="26"/>
    </row>
    <row r="45" spans="1:9" x14ac:dyDescent="0.2">
      <c r="A45" s="25" t="s">
        <v>420</v>
      </c>
      <c r="B45" s="44"/>
      <c r="F45" s="26"/>
      <c r="G45" s="26"/>
    </row>
    <row r="46" spans="1:9" s="26" customFormat="1" x14ac:dyDescent="0.2">
      <c r="A46" s="75" t="s">
        <v>421</v>
      </c>
      <c r="B46" s="44"/>
      <c r="C46"/>
      <c r="I46"/>
    </row>
    <row r="47" spans="1:9" s="26" customFormat="1" x14ac:dyDescent="0.2">
      <c r="A47" s="25" t="s">
        <v>422</v>
      </c>
      <c r="B47" s="44"/>
      <c r="C47"/>
      <c r="F47"/>
      <c r="I47"/>
    </row>
    <row r="48" spans="1:9" x14ac:dyDescent="0.2">
      <c r="A48" s="25" t="s">
        <v>423</v>
      </c>
      <c r="B48" s="44"/>
      <c r="G48" s="26"/>
    </row>
    <row r="49" spans="1:6" x14ac:dyDescent="0.2">
      <c r="A49" s="25" t="s">
        <v>424</v>
      </c>
      <c r="B49" s="26"/>
      <c r="F49" s="26"/>
    </row>
    <row r="50" spans="1:6" x14ac:dyDescent="0.2">
      <c r="A50" s="25" t="s">
        <v>425</v>
      </c>
      <c r="B50" s="26"/>
      <c r="F50" s="26"/>
    </row>
    <row r="51" spans="1:6" x14ac:dyDescent="0.2">
      <c r="A51" s="25" t="s">
        <v>426</v>
      </c>
      <c r="B51" s="26"/>
    </row>
    <row r="52" spans="1:6" x14ac:dyDescent="0.2">
      <c r="A52" s="25" t="s">
        <v>427</v>
      </c>
      <c r="B52" s="26"/>
    </row>
    <row r="53" spans="1:6" x14ac:dyDescent="0.2">
      <c r="A53" s="25" t="s">
        <v>428</v>
      </c>
      <c r="B53" s="26"/>
    </row>
    <row r="54" spans="1:6" x14ac:dyDescent="0.2">
      <c r="A54" s="25" t="s">
        <v>429</v>
      </c>
    </row>
    <row r="55" spans="1:6" x14ac:dyDescent="0.2">
      <c r="A55" s="25" t="s">
        <v>430</v>
      </c>
    </row>
    <row r="56" spans="1:6" x14ac:dyDescent="0.2">
      <c r="A56" s="73" t="s">
        <v>431</v>
      </c>
    </row>
    <row r="57" spans="1:6" x14ac:dyDescent="0.2">
      <c r="A57" s="25" t="s">
        <v>432</v>
      </c>
    </row>
    <row r="58" spans="1:6" x14ac:dyDescent="0.2">
      <c r="A58" s="25" t="s">
        <v>433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58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409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2293.6</v>
      </c>
      <c r="C3" s="51">
        <v>2293.61</v>
      </c>
      <c r="H3" s="26"/>
    </row>
    <row r="4" spans="1:11" x14ac:dyDescent="0.2">
      <c r="A4" s="26" t="s">
        <v>265</v>
      </c>
      <c r="B4">
        <v>1188.71</v>
      </c>
      <c r="C4">
        <v>1188.71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3482.31</v>
      </c>
      <c r="G8" s="27">
        <f>C9+C10+C11+C12+C13</f>
        <v>1933.9699999999998</v>
      </c>
      <c r="H8" s="27">
        <f>F8-G8</f>
        <v>1548.3400000000001</v>
      </c>
    </row>
    <row r="9" spans="1:11" s="24" customFormat="1" x14ac:dyDescent="0.2">
      <c r="A9" s="20" t="s">
        <v>293</v>
      </c>
      <c r="B9" s="20" t="s">
        <v>389</v>
      </c>
      <c r="C9" s="20">
        <v>1215.17</v>
      </c>
      <c r="D9" s="26"/>
      <c r="F9" s="31"/>
      <c r="G9" s="31"/>
      <c r="H9" s="67"/>
      <c r="I9" s="26"/>
    </row>
    <row r="10" spans="1:11" s="24" customFormat="1" x14ac:dyDescent="0.2">
      <c r="A10" s="20" t="s">
        <v>351</v>
      </c>
      <c r="B10" s="20" t="s">
        <v>396</v>
      </c>
      <c r="C10" s="21">
        <v>209.6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320</v>
      </c>
      <c r="B11" s="20" t="s">
        <v>401</v>
      </c>
      <c r="C11" s="21">
        <v>128.05000000000001</v>
      </c>
      <c r="D11" s="26"/>
      <c r="F11" s="33">
        <f>B3+B4</f>
        <v>3482.31</v>
      </c>
      <c r="G11" s="27">
        <f>C16+C17+C18+C19+C20+C21+C22+C23+C24+C25+C26+C27+C28+C29+C30</f>
        <v>2664.34</v>
      </c>
      <c r="H11" s="27">
        <f>F11-G11</f>
        <v>817.9699999999998</v>
      </c>
      <c r="I11" s="26"/>
    </row>
    <row r="12" spans="1:11" s="24" customFormat="1" x14ac:dyDescent="0.2">
      <c r="A12" s="20" t="s">
        <v>321</v>
      </c>
      <c r="B12" s="20" t="s">
        <v>400</v>
      </c>
      <c r="C12" s="21">
        <v>171.55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350</v>
      </c>
      <c r="B13" s="20" t="s">
        <v>396</v>
      </c>
      <c r="C13" s="21">
        <v>209.6</v>
      </c>
      <c r="D13" s="26"/>
      <c r="F13" s="31"/>
      <c r="G13" s="31"/>
      <c r="H13" s="31"/>
    </row>
    <row r="14" spans="1:11" s="24" customFormat="1" x14ac:dyDescent="0.2">
      <c r="A14" s="29"/>
      <c r="B14" s="29"/>
      <c r="C14" s="30"/>
      <c r="D14" s="26"/>
      <c r="F14" s="31"/>
      <c r="G14" s="31"/>
      <c r="H14" s="31"/>
      <c r="I14" s="26"/>
    </row>
    <row r="15" spans="1:11" s="24" customFormat="1" x14ac:dyDescent="0.2">
      <c r="A15" s="32" t="s">
        <v>13</v>
      </c>
      <c r="B15" s="25"/>
      <c r="C15" s="27"/>
      <c r="D15" s="26"/>
      <c r="F15" s="31"/>
      <c r="G15" s="31"/>
      <c r="H15" s="31"/>
      <c r="I15" s="26"/>
    </row>
    <row r="16" spans="1:11" s="24" customFormat="1" x14ac:dyDescent="0.2">
      <c r="A16" s="20" t="s">
        <v>300</v>
      </c>
      <c r="B16" s="20" t="s">
        <v>389</v>
      </c>
      <c r="C16" s="20">
        <v>336</v>
      </c>
      <c r="D16" s="26"/>
      <c r="F16" s="31"/>
      <c r="G16" s="31"/>
      <c r="H16" s="31"/>
      <c r="I16" s="26"/>
    </row>
    <row r="17" spans="1:9" s="24" customFormat="1" x14ac:dyDescent="0.2">
      <c r="A17" s="20" t="s">
        <v>316</v>
      </c>
      <c r="B17" s="20" t="s">
        <v>392</v>
      </c>
      <c r="C17" s="21">
        <v>525</v>
      </c>
      <c r="D17" s="26"/>
      <c r="F17" s="31"/>
      <c r="G17" s="31"/>
      <c r="H17" s="31"/>
      <c r="I17" s="26"/>
    </row>
    <row r="18" spans="1:9" s="24" customFormat="1" x14ac:dyDescent="0.2">
      <c r="A18" s="20" t="s">
        <v>378</v>
      </c>
      <c r="B18" s="20" t="s">
        <v>393</v>
      </c>
      <c r="C18" s="21">
        <v>216.5</v>
      </c>
      <c r="D18" s="26"/>
      <c r="F18" s="31"/>
      <c r="G18" s="31"/>
      <c r="H18" s="31"/>
      <c r="I18" s="26"/>
    </row>
    <row r="19" spans="1:9" s="24" customFormat="1" x14ac:dyDescent="0.2">
      <c r="A19" s="20" t="s">
        <v>379</v>
      </c>
      <c r="B19" s="20" t="s">
        <v>395</v>
      </c>
      <c r="C19" s="20">
        <v>111.81</v>
      </c>
      <c r="D19" s="26"/>
      <c r="F19" s="31"/>
      <c r="G19" s="31"/>
      <c r="H19" s="31"/>
      <c r="I19" s="26"/>
    </row>
    <row r="20" spans="1:9" s="24" customFormat="1" x14ac:dyDescent="0.2">
      <c r="A20" s="20" t="s">
        <v>348</v>
      </c>
      <c r="B20" s="20" t="s">
        <v>396</v>
      </c>
      <c r="C20" s="21">
        <v>209.6</v>
      </c>
      <c r="D20" s="26"/>
      <c r="F20" s="31"/>
      <c r="G20" s="31"/>
      <c r="H20" s="31"/>
      <c r="I20" s="26"/>
    </row>
    <row r="21" spans="1:9" s="24" customFormat="1" x14ac:dyDescent="0.2">
      <c r="A21" s="20" t="s">
        <v>76</v>
      </c>
      <c r="B21" s="20" t="s">
        <v>402</v>
      </c>
      <c r="C21" s="21">
        <v>14.99</v>
      </c>
      <c r="D21" s="26"/>
      <c r="F21" s="31"/>
      <c r="G21" s="31"/>
      <c r="H21" s="31"/>
      <c r="I21" s="26"/>
    </row>
    <row r="22" spans="1:9" s="24" customFormat="1" x14ac:dyDescent="0.2">
      <c r="A22" s="20" t="s">
        <v>311</v>
      </c>
      <c r="B22" s="20" t="s">
        <v>394</v>
      </c>
      <c r="C22" s="21">
        <v>74.900000000000006</v>
      </c>
      <c r="D22" s="26"/>
      <c r="F22" s="31"/>
      <c r="G22" s="31"/>
      <c r="H22" s="31"/>
      <c r="I22" s="26"/>
    </row>
    <row r="23" spans="1:9" s="24" customFormat="1" x14ac:dyDescent="0.2">
      <c r="A23" s="20" t="s">
        <v>79</v>
      </c>
      <c r="B23" s="20" t="s">
        <v>390</v>
      </c>
      <c r="C23" s="21">
        <v>142</v>
      </c>
      <c r="D23" s="26"/>
      <c r="F23" s="31"/>
      <c r="G23" s="31"/>
      <c r="H23" s="31"/>
      <c r="I23" s="26"/>
    </row>
    <row r="24" spans="1:9" s="24" customFormat="1" x14ac:dyDescent="0.2">
      <c r="A24" s="20" t="s">
        <v>349</v>
      </c>
      <c r="B24" s="20" t="s">
        <v>396</v>
      </c>
      <c r="C24" s="21">
        <v>209.6</v>
      </c>
      <c r="D24" s="26"/>
      <c r="F24" s="26"/>
      <c r="G24" s="26"/>
      <c r="H24" s="26"/>
      <c r="I24" s="26"/>
    </row>
    <row r="25" spans="1:9" s="24" customFormat="1" x14ac:dyDescent="0.2">
      <c r="A25" s="20" t="s">
        <v>75</v>
      </c>
      <c r="B25" s="20" t="s">
        <v>395</v>
      </c>
      <c r="C25" s="21">
        <v>256.22000000000003</v>
      </c>
      <c r="D25" s="26"/>
      <c r="F25" s="68" t="s">
        <v>330</v>
      </c>
      <c r="G25" s="26"/>
      <c r="H25" s="68" t="s">
        <v>381</v>
      </c>
      <c r="I25" s="26"/>
    </row>
    <row r="26" spans="1:9" s="26" customFormat="1" x14ac:dyDescent="0.2">
      <c r="A26" s="20" t="s">
        <v>78</v>
      </c>
      <c r="B26" s="20" t="s">
        <v>403</v>
      </c>
      <c r="C26" s="21">
        <v>151.22999999999999</v>
      </c>
      <c r="F26" s="25">
        <f>(H8+H11)/2</f>
        <v>1183.155</v>
      </c>
      <c r="H26" s="25">
        <f>F26-800</f>
        <v>383.15499999999997</v>
      </c>
    </row>
    <row r="27" spans="1:9" s="26" customFormat="1" x14ac:dyDescent="0.2">
      <c r="A27" s="20" t="s">
        <v>267</v>
      </c>
      <c r="B27" s="20" t="s">
        <v>404</v>
      </c>
      <c r="C27" s="55">
        <v>28.13</v>
      </c>
    </row>
    <row r="28" spans="1:9" s="24" customFormat="1" x14ac:dyDescent="0.2">
      <c r="A28" s="20" t="s">
        <v>301</v>
      </c>
      <c r="B28" s="20" t="s">
        <v>391</v>
      </c>
      <c r="C28" s="55">
        <v>147.91999999999999</v>
      </c>
      <c r="D28" s="26"/>
      <c r="H28" s="71"/>
    </row>
    <row r="29" spans="1:9" s="24" customFormat="1" x14ac:dyDescent="0.2">
      <c r="A29" s="20" t="s">
        <v>266</v>
      </c>
      <c r="B29" s="20" t="s">
        <v>405</v>
      </c>
      <c r="C29" s="21">
        <v>55.9</v>
      </c>
      <c r="D29" s="26"/>
    </row>
    <row r="30" spans="1:9" s="26" customFormat="1" x14ac:dyDescent="0.2">
      <c r="A30" s="20" t="s">
        <v>302</v>
      </c>
      <c r="B30" s="20" t="s">
        <v>388</v>
      </c>
      <c r="C30" s="55">
        <v>184.54</v>
      </c>
    </row>
    <row r="31" spans="1:9" s="26" customFormat="1" x14ac:dyDescent="0.2">
      <c r="A31" s="14"/>
      <c r="B31" s="14"/>
      <c r="C31" s="14"/>
    </row>
    <row r="32" spans="1:9" s="26" customFormat="1" x14ac:dyDescent="0.2">
      <c r="A32"/>
      <c r="B32"/>
      <c r="C32"/>
    </row>
    <row r="33" spans="1:9" s="26" customFormat="1" x14ac:dyDescent="0.2">
      <c r="C33"/>
      <c r="I33" s="24"/>
    </row>
    <row r="34" spans="1:9" s="26" customFormat="1" x14ac:dyDescent="0.2">
      <c r="A34"/>
      <c r="B34"/>
      <c r="H34" s="24"/>
      <c r="I34" s="24"/>
    </row>
    <row r="35" spans="1:9" s="24" customFormat="1" x14ac:dyDescent="0.2">
      <c r="A35" s="74" t="s">
        <v>375</v>
      </c>
      <c r="B35"/>
      <c r="C35" s="26"/>
      <c r="D35" s="26"/>
      <c r="F35" s="26"/>
      <c r="G35" s="26"/>
    </row>
    <row r="36" spans="1:9" s="26" customFormat="1" x14ac:dyDescent="0.2">
      <c r="A36" s="4" t="s">
        <v>411</v>
      </c>
      <c r="B36"/>
    </row>
    <row r="37" spans="1:9" s="26" customFormat="1" x14ac:dyDescent="0.2">
      <c r="A37" s="4" t="s">
        <v>412</v>
      </c>
      <c r="B37"/>
    </row>
    <row r="38" spans="1:9" s="26" customFormat="1" x14ac:dyDescent="0.2">
      <c r="A38" s="4" t="s">
        <v>413</v>
      </c>
      <c r="B38"/>
      <c r="C38"/>
    </row>
    <row r="39" spans="1:9" s="24" customFormat="1" x14ac:dyDescent="0.2">
      <c r="A39" s="11" t="s">
        <v>414</v>
      </c>
      <c r="B39"/>
      <c r="C39"/>
      <c r="D39" s="26"/>
      <c r="F39" s="26"/>
      <c r="G39" s="26"/>
      <c r="I39"/>
    </row>
    <row r="40" spans="1:9" s="24" customFormat="1" x14ac:dyDescent="0.2">
      <c r="A40" s="72" t="s">
        <v>415</v>
      </c>
      <c r="B40"/>
      <c r="C40"/>
      <c r="D40" s="26"/>
      <c r="F40" s="26"/>
      <c r="I40"/>
    </row>
    <row r="41" spans="1:9" s="24" customFormat="1" x14ac:dyDescent="0.2">
      <c r="A41" s="72" t="s">
        <v>416</v>
      </c>
      <c r="B41"/>
      <c r="C41"/>
      <c r="D41" s="26"/>
      <c r="F41" s="26"/>
      <c r="G41" s="26"/>
      <c r="I41" s="26"/>
    </row>
    <row r="42" spans="1:9" s="26" customFormat="1" x14ac:dyDescent="0.2">
      <c r="A42" s="72" t="s">
        <v>417</v>
      </c>
      <c r="B42"/>
      <c r="C42"/>
    </row>
    <row r="43" spans="1:9" s="26" customFormat="1" x14ac:dyDescent="0.2">
      <c r="A43" s="72" t="s">
        <v>418</v>
      </c>
      <c r="B43"/>
      <c r="C43"/>
      <c r="I43"/>
    </row>
    <row r="44" spans="1:9" x14ac:dyDescent="0.2">
      <c r="A44" s="72" t="s">
        <v>419</v>
      </c>
      <c r="B44" s="44"/>
      <c r="F44" s="26"/>
      <c r="G44" s="26"/>
    </row>
    <row r="45" spans="1:9" x14ac:dyDescent="0.2">
      <c r="A45" s="25" t="s">
        <v>420</v>
      </c>
      <c r="B45" s="44"/>
      <c r="F45" s="26"/>
      <c r="G45" s="26"/>
    </row>
    <row r="46" spans="1:9" s="26" customFormat="1" x14ac:dyDescent="0.2">
      <c r="A46" s="75" t="s">
        <v>421</v>
      </c>
      <c r="B46" s="44"/>
      <c r="C46"/>
      <c r="I46"/>
    </row>
    <row r="47" spans="1:9" s="26" customFormat="1" x14ac:dyDescent="0.2">
      <c r="A47" s="25" t="s">
        <v>422</v>
      </c>
      <c r="B47" s="44"/>
      <c r="C47"/>
      <c r="F47"/>
      <c r="I47"/>
    </row>
    <row r="48" spans="1:9" x14ac:dyDescent="0.2">
      <c r="A48" s="25" t="s">
        <v>423</v>
      </c>
      <c r="B48" s="44"/>
      <c r="G48" s="26"/>
    </row>
    <row r="49" spans="1:6" x14ac:dyDescent="0.2">
      <c r="A49" s="25" t="s">
        <v>424</v>
      </c>
      <c r="B49" s="26"/>
      <c r="F49" s="26"/>
    </row>
    <row r="50" spans="1:6" x14ac:dyDescent="0.2">
      <c r="A50" s="25" t="s">
        <v>425</v>
      </c>
      <c r="B50" s="26"/>
      <c r="F50" s="26"/>
    </row>
    <row r="51" spans="1:6" x14ac:dyDescent="0.2">
      <c r="A51" s="25" t="s">
        <v>426</v>
      </c>
      <c r="B51" s="26"/>
    </row>
    <row r="52" spans="1:6" x14ac:dyDescent="0.2">
      <c r="A52" s="25" t="s">
        <v>427</v>
      </c>
      <c r="B52" s="26"/>
    </row>
    <row r="53" spans="1:6" x14ac:dyDescent="0.2">
      <c r="A53" s="25" t="s">
        <v>428</v>
      </c>
      <c r="B53" s="26"/>
    </row>
    <row r="54" spans="1:6" x14ac:dyDescent="0.2">
      <c r="A54" s="25" t="s">
        <v>429</v>
      </c>
    </row>
    <row r="55" spans="1:6" x14ac:dyDescent="0.2">
      <c r="A55" s="25" t="s">
        <v>430</v>
      </c>
    </row>
    <row r="56" spans="1:6" x14ac:dyDescent="0.2">
      <c r="A56" s="73" t="s">
        <v>431</v>
      </c>
    </row>
    <row r="57" spans="1:6" x14ac:dyDescent="0.2">
      <c r="A57" s="25" t="s">
        <v>432</v>
      </c>
    </row>
    <row r="58" spans="1:6" x14ac:dyDescent="0.2">
      <c r="A58" s="25" t="s">
        <v>433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53"/>
  <sheetViews>
    <sheetView workbookViewId="0">
      <selection activeCell="A16" sqref="A16:C16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408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2293.6</v>
      </c>
      <c r="C3" s="51">
        <v>2293.61</v>
      </c>
      <c r="H3" s="26"/>
    </row>
    <row r="4" spans="1:11" x14ac:dyDescent="0.2">
      <c r="A4" s="26" t="s">
        <v>265</v>
      </c>
      <c r="B4">
        <v>1188.71</v>
      </c>
      <c r="C4">
        <v>1188.71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3482.31</v>
      </c>
      <c r="G8" s="27">
        <f>C9+C10+C11+C12+C13</f>
        <v>1933.9699999999998</v>
      </c>
      <c r="H8" s="27">
        <f>F8-G8</f>
        <v>1548.3400000000001</v>
      </c>
    </row>
    <row r="9" spans="1:11" s="24" customFormat="1" x14ac:dyDescent="0.2">
      <c r="A9" s="20" t="s">
        <v>293</v>
      </c>
      <c r="B9" s="20" t="s">
        <v>389</v>
      </c>
      <c r="C9" s="20">
        <v>1215.17</v>
      </c>
      <c r="D9" s="26"/>
      <c r="F9" s="31"/>
      <c r="G9" s="31"/>
      <c r="H9" s="67"/>
      <c r="I9" s="26"/>
    </row>
    <row r="10" spans="1:11" s="24" customFormat="1" x14ac:dyDescent="0.2">
      <c r="A10" s="20" t="s">
        <v>351</v>
      </c>
      <c r="B10" s="20" t="s">
        <v>396</v>
      </c>
      <c r="C10" s="21">
        <v>209.6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320</v>
      </c>
      <c r="B11" s="20" t="s">
        <v>401</v>
      </c>
      <c r="C11" s="21">
        <v>128.05000000000001</v>
      </c>
      <c r="D11" s="26"/>
      <c r="F11" s="33">
        <f>B3+B4</f>
        <v>3482.31</v>
      </c>
      <c r="G11" s="27">
        <f>C16+C17+C18+C19+C20+C21+C22+C23+C24+C25+C26+C27+C28+C29+C30</f>
        <v>2671.1200000000003</v>
      </c>
      <c r="H11" s="27">
        <f>F11-G11</f>
        <v>811.1899999999996</v>
      </c>
      <c r="I11" s="26"/>
    </row>
    <row r="12" spans="1:11" s="24" customFormat="1" x14ac:dyDescent="0.2">
      <c r="A12" s="20" t="s">
        <v>321</v>
      </c>
      <c r="B12" s="20" t="s">
        <v>400</v>
      </c>
      <c r="C12" s="21">
        <v>171.55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350</v>
      </c>
      <c r="B13" s="20" t="s">
        <v>396</v>
      </c>
      <c r="C13" s="21">
        <v>209.6</v>
      </c>
      <c r="D13" s="26"/>
      <c r="F13" s="31"/>
      <c r="G13" s="31"/>
      <c r="H13" s="31"/>
    </row>
    <row r="14" spans="1:11" s="24" customFormat="1" x14ac:dyDescent="0.2">
      <c r="A14" s="29"/>
      <c r="B14" s="29"/>
      <c r="C14" s="30"/>
      <c r="D14" s="26"/>
      <c r="F14" s="31"/>
      <c r="G14" s="31"/>
      <c r="H14" s="31"/>
      <c r="I14" s="26"/>
    </row>
    <row r="15" spans="1:11" s="24" customFormat="1" x14ac:dyDescent="0.2">
      <c r="A15" s="32" t="s">
        <v>13</v>
      </c>
      <c r="B15" s="25"/>
      <c r="C15" s="27"/>
      <c r="D15" s="26"/>
      <c r="F15" s="31"/>
      <c r="G15" s="31"/>
      <c r="H15" s="31"/>
      <c r="I15" s="26"/>
    </row>
    <row r="16" spans="1:11" s="24" customFormat="1" x14ac:dyDescent="0.2">
      <c r="A16" s="20" t="s">
        <v>300</v>
      </c>
      <c r="B16" s="20" t="s">
        <v>389</v>
      </c>
      <c r="C16" s="20">
        <v>336</v>
      </c>
      <c r="D16" s="26"/>
      <c r="F16" s="31"/>
      <c r="G16" s="31"/>
      <c r="H16" s="31"/>
      <c r="I16" s="26"/>
    </row>
    <row r="17" spans="1:9" s="24" customFormat="1" x14ac:dyDescent="0.2">
      <c r="A17" s="20" t="s">
        <v>316</v>
      </c>
      <c r="B17" s="20" t="s">
        <v>392</v>
      </c>
      <c r="C17" s="21">
        <v>525</v>
      </c>
      <c r="D17" s="26"/>
      <c r="F17" s="31"/>
      <c r="G17" s="31"/>
      <c r="H17" s="31"/>
      <c r="I17" s="26"/>
    </row>
    <row r="18" spans="1:9" s="24" customFormat="1" x14ac:dyDescent="0.2">
      <c r="A18" s="20" t="s">
        <v>378</v>
      </c>
      <c r="B18" s="20" t="s">
        <v>393</v>
      </c>
      <c r="C18" s="21">
        <v>216.5</v>
      </c>
      <c r="D18" s="26"/>
      <c r="F18" s="31"/>
      <c r="G18" s="31"/>
      <c r="H18" s="31"/>
      <c r="I18" s="26"/>
    </row>
    <row r="19" spans="1:9" s="24" customFormat="1" x14ac:dyDescent="0.2">
      <c r="A19" s="20" t="s">
        <v>379</v>
      </c>
      <c r="B19" s="20" t="s">
        <v>395</v>
      </c>
      <c r="C19" s="20">
        <v>113.81</v>
      </c>
      <c r="D19" s="26"/>
      <c r="F19" s="31"/>
      <c r="G19" s="31"/>
      <c r="H19" s="31"/>
      <c r="I19" s="26"/>
    </row>
    <row r="20" spans="1:9" s="24" customFormat="1" x14ac:dyDescent="0.2">
      <c r="A20" s="20" t="s">
        <v>348</v>
      </c>
      <c r="B20" s="20" t="s">
        <v>396</v>
      </c>
      <c r="C20" s="21">
        <v>209.6</v>
      </c>
      <c r="D20" s="26"/>
      <c r="F20" s="31"/>
      <c r="G20" s="31"/>
      <c r="H20" s="31"/>
      <c r="I20" s="26"/>
    </row>
    <row r="21" spans="1:9" s="24" customFormat="1" x14ac:dyDescent="0.2">
      <c r="A21" s="20" t="s">
        <v>76</v>
      </c>
      <c r="B21" s="20" t="s">
        <v>402</v>
      </c>
      <c r="C21" s="21">
        <v>14.99</v>
      </c>
      <c r="D21" s="26"/>
      <c r="F21" s="31"/>
      <c r="G21" s="31"/>
      <c r="H21" s="31"/>
      <c r="I21" s="26"/>
    </row>
    <row r="22" spans="1:9" s="24" customFormat="1" x14ac:dyDescent="0.2">
      <c r="A22" s="20" t="s">
        <v>311</v>
      </c>
      <c r="B22" s="20" t="s">
        <v>394</v>
      </c>
      <c r="C22" s="21">
        <v>74.900000000000006</v>
      </c>
      <c r="D22" s="26"/>
      <c r="F22" s="31"/>
      <c r="G22" s="31"/>
      <c r="H22" s="31"/>
      <c r="I22" s="26"/>
    </row>
    <row r="23" spans="1:9" s="24" customFormat="1" x14ac:dyDescent="0.2">
      <c r="A23" s="20" t="s">
        <v>79</v>
      </c>
      <c r="B23" s="20" t="s">
        <v>390</v>
      </c>
      <c r="C23" s="21">
        <v>142</v>
      </c>
      <c r="D23" s="26"/>
      <c r="F23" s="31"/>
      <c r="G23" s="31"/>
      <c r="H23" s="31"/>
      <c r="I23" s="26"/>
    </row>
    <row r="24" spans="1:9" s="24" customFormat="1" x14ac:dyDescent="0.2">
      <c r="A24" s="20" t="s">
        <v>349</v>
      </c>
      <c r="B24" s="20" t="s">
        <v>396</v>
      </c>
      <c r="C24" s="21">
        <v>209.6</v>
      </c>
      <c r="D24" s="26"/>
      <c r="F24" s="26"/>
      <c r="G24" s="26"/>
      <c r="H24" s="26"/>
      <c r="I24" s="26"/>
    </row>
    <row r="25" spans="1:9" s="24" customFormat="1" x14ac:dyDescent="0.2">
      <c r="A25" s="20" t="s">
        <v>75</v>
      </c>
      <c r="B25" s="20" t="s">
        <v>395</v>
      </c>
      <c r="C25" s="21">
        <v>256.22000000000003</v>
      </c>
      <c r="D25" s="26"/>
      <c r="F25" s="68" t="s">
        <v>330</v>
      </c>
      <c r="G25" s="26"/>
      <c r="H25" s="68" t="s">
        <v>381</v>
      </c>
      <c r="I25" s="26"/>
    </row>
    <row r="26" spans="1:9" s="26" customFormat="1" x14ac:dyDescent="0.2">
      <c r="A26" s="20" t="s">
        <v>78</v>
      </c>
      <c r="B26" s="20" t="s">
        <v>403</v>
      </c>
      <c r="C26" s="21">
        <v>151.22999999999999</v>
      </c>
      <c r="F26" s="25">
        <f>(H8+H11)/2</f>
        <v>1179.7649999999999</v>
      </c>
      <c r="H26" s="25">
        <f>F26-800</f>
        <v>379.76499999999987</v>
      </c>
    </row>
    <row r="27" spans="1:9" s="26" customFormat="1" x14ac:dyDescent="0.2">
      <c r="A27" s="20" t="s">
        <v>267</v>
      </c>
      <c r="B27" s="20" t="s">
        <v>404</v>
      </c>
      <c r="C27" s="55">
        <v>28.13</v>
      </c>
    </row>
    <row r="28" spans="1:9" s="24" customFormat="1" x14ac:dyDescent="0.2">
      <c r="A28" s="20" t="s">
        <v>301</v>
      </c>
      <c r="B28" s="20" t="s">
        <v>391</v>
      </c>
      <c r="C28" s="55">
        <v>154.30000000000001</v>
      </c>
      <c r="D28" s="26"/>
      <c r="H28" s="71"/>
    </row>
    <row r="29" spans="1:9" s="24" customFormat="1" x14ac:dyDescent="0.2">
      <c r="A29" s="20" t="s">
        <v>266</v>
      </c>
      <c r="B29" s="20" t="s">
        <v>405</v>
      </c>
      <c r="C29" s="21">
        <v>55.9</v>
      </c>
      <c r="D29" s="26"/>
    </row>
    <row r="30" spans="1:9" s="26" customFormat="1" x14ac:dyDescent="0.2">
      <c r="A30" s="20" t="s">
        <v>302</v>
      </c>
      <c r="B30" s="20" t="s">
        <v>388</v>
      </c>
      <c r="C30" s="55">
        <v>182.94</v>
      </c>
    </row>
    <row r="31" spans="1:9" s="26" customFormat="1" x14ac:dyDescent="0.2">
      <c r="A31" s="14"/>
      <c r="B31" s="14"/>
      <c r="C31" s="14"/>
    </row>
    <row r="32" spans="1:9" s="26" customFormat="1" x14ac:dyDescent="0.2">
      <c r="A32"/>
      <c r="B32"/>
      <c r="C32"/>
    </row>
    <row r="33" spans="1:9" s="26" customFormat="1" x14ac:dyDescent="0.2">
      <c r="C33"/>
      <c r="I33" s="24"/>
    </row>
    <row r="34" spans="1:9" s="26" customFormat="1" x14ac:dyDescent="0.2">
      <c r="A34"/>
      <c r="B34"/>
      <c r="H34" s="24"/>
      <c r="I34" s="24"/>
    </row>
    <row r="35" spans="1:9" s="24" customFormat="1" x14ac:dyDescent="0.2">
      <c r="A35" s="74" t="s">
        <v>375</v>
      </c>
      <c r="B35"/>
      <c r="C35" s="26"/>
      <c r="D35" s="26"/>
      <c r="F35" s="26"/>
      <c r="G35" s="26"/>
    </row>
    <row r="36" spans="1:9" s="26" customFormat="1" x14ac:dyDescent="0.2">
      <c r="A36" s="4" t="s">
        <v>356</v>
      </c>
      <c r="B36"/>
    </row>
    <row r="37" spans="1:9" s="26" customFormat="1" x14ac:dyDescent="0.2">
      <c r="A37" s="4" t="s">
        <v>357</v>
      </c>
      <c r="B37"/>
    </row>
    <row r="38" spans="1:9" s="26" customFormat="1" x14ac:dyDescent="0.2">
      <c r="A38" s="4" t="s">
        <v>358</v>
      </c>
      <c r="B38"/>
      <c r="C38"/>
    </row>
    <row r="39" spans="1:9" s="24" customFormat="1" x14ac:dyDescent="0.2">
      <c r="A39" s="4" t="s">
        <v>359</v>
      </c>
      <c r="B39"/>
      <c r="C39"/>
      <c r="D39" s="26"/>
      <c r="F39" s="26"/>
      <c r="G39" s="26"/>
      <c r="I39"/>
    </row>
    <row r="40" spans="1:9" s="24" customFormat="1" x14ac:dyDescent="0.2">
      <c r="A40" s="72" t="s">
        <v>360</v>
      </c>
      <c r="B40"/>
      <c r="C40"/>
      <c r="D40" s="26"/>
      <c r="F40" s="26"/>
      <c r="I40"/>
    </row>
    <row r="41" spans="1:9" s="24" customFormat="1" x14ac:dyDescent="0.2">
      <c r="A41" s="72" t="s">
        <v>361</v>
      </c>
      <c r="B41"/>
      <c r="C41"/>
      <c r="D41" s="26"/>
      <c r="F41" s="26"/>
      <c r="G41" s="26"/>
      <c r="I41" s="26"/>
    </row>
    <row r="42" spans="1:9" s="26" customFormat="1" x14ac:dyDescent="0.2">
      <c r="A42" s="72" t="s">
        <v>362</v>
      </c>
      <c r="B42"/>
      <c r="C42"/>
    </row>
    <row r="43" spans="1:9" s="26" customFormat="1" x14ac:dyDescent="0.2">
      <c r="A43" s="72" t="s">
        <v>363</v>
      </c>
      <c r="B43"/>
      <c r="C43"/>
      <c r="I43"/>
    </row>
    <row r="44" spans="1:9" x14ac:dyDescent="0.2">
      <c r="A44" s="72" t="s">
        <v>364</v>
      </c>
      <c r="B44" s="44"/>
      <c r="F44" s="26"/>
      <c r="G44" s="26"/>
    </row>
    <row r="45" spans="1:9" x14ac:dyDescent="0.2">
      <c r="A45" s="25" t="s">
        <v>365</v>
      </c>
      <c r="B45" s="44"/>
      <c r="F45" s="26"/>
      <c r="G45" s="26"/>
    </row>
    <row r="46" spans="1:9" s="26" customFormat="1" x14ac:dyDescent="0.2">
      <c r="A46" s="73" t="s">
        <v>366</v>
      </c>
      <c r="B46" s="44"/>
      <c r="C46"/>
      <c r="I46"/>
    </row>
    <row r="47" spans="1:9" s="26" customFormat="1" x14ac:dyDescent="0.2">
      <c r="A47" s="25" t="s">
        <v>367</v>
      </c>
      <c r="B47" s="44"/>
      <c r="C47"/>
      <c r="F47"/>
      <c r="I47"/>
    </row>
    <row r="48" spans="1:9" x14ac:dyDescent="0.2">
      <c r="A48" s="25" t="s">
        <v>368</v>
      </c>
      <c r="B48" s="44"/>
      <c r="G48" s="26"/>
    </row>
    <row r="49" spans="1:6" x14ac:dyDescent="0.2">
      <c r="A49" s="25" t="s">
        <v>369</v>
      </c>
      <c r="B49" s="26"/>
      <c r="F49" s="26"/>
    </row>
    <row r="50" spans="1:6" x14ac:dyDescent="0.2">
      <c r="A50" s="25" t="s">
        <v>370</v>
      </c>
      <c r="B50" s="26"/>
      <c r="F50" s="26"/>
    </row>
    <row r="51" spans="1:6" x14ac:dyDescent="0.2">
      <c r="A51" s="25" t="s">
        <v>407</v>
      </c>
      <c r="B51" s="26"/>
    </row>
    <row r="52" spans="1:6" x14ac:dyDescent="0.2">
      <c r="A52" s="26"/>
      <c r="B52" s="26"/>
    </row>
    <row r="53" spans="1:6" x14ac:dyDescent="0.2">
      <c r="A53" s="26"/>
      <c r="B53" s="26"/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53"/>
  <sheetViews>
    <sheetView topLeftCell="A4" workbookViewId="0">
      <selection activeCell="A16" sqref="A16:C16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406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2293.6</v>
      </c>
      <c r="C3" s="51">
        <v>2293.61</v>
      </c>
      <c r="H3" s="26"/>
    </row>
    <row r="4" spans="1:11" x14ac:dyDescent="0.2">
      <c r="A4" s="26" t="s">
        <v>265</v>
      </c>
      <c r="B4">
        <v>1188.71</v>
      </c>
      <c r="C4">
        <v>1188.71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3482.31</v>
      </c>
      <c r="G8" s="27">
        <f>C9+C10+C11+C12+C13</f>
        <v>1933.9699999999998</v>
      </c>
      <c r="H8" s="27">
        <f>F8-G8</f>
        <v>1548.3400000000001</v>
      </c>
    </row>
    <row r="9" spans="1:11" s="24" customFormat="1" x14ac:dyDescent="0.2">
      <c r="A9" s="20" t="s">
        <v>293</v>
      </c>
      <c r="B9" s="20" t="s">
        <v>389</v>
      </c>
      <c r="C9" s="20">
        <v>1215.17</v>
      </c>
      <c r="D9" s="26"/>
      <c r="F9" s="31"/>
      <c r="G9" s="31"/>
      <c r="H9" s="67"/>
      <c r="I9" s="26"/>
    </row>
    <row r="10" spans="1:11" s="24" customFormat="1" x14ac:dyDescent="0.2">
      <c r="A10" s="20" t="s">
        <v>351</v>
      </c>
      <c r="B10" s="20" t="s">
        <v>396</v>
      </c>
      <c r="C10" s="21">
        <v>209.6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320</v>
      </c>
      <c r="B11" s="20" t="s">
        <v>401</v>
      </c>
      <c r="C11" s="21">
        <v>128.05000000000001</v>
      </c>
      <c r="D11" s="26"/>
      <c r="F11" s="33">
        <f>B3+B4</f>
        <v>3482.31</v>
      </c>
      <c r="G11" s="27">
        <f>C16+C17+C18+C19+C20+C21+C22+C23+C24+C25+C26+C27+C28+C29+C30</f>
        <v>2635.77</v>
      </c>
      <c r="H11" s="27">
        <f>F11-G11</f>
        <v>846.54</v>
      </c>
      <c r="I11" s="26"/>
    </row>
    <row r="12" spans="1:11" s="24" customFormat="1" x14ac:dyDescent="0.2">
      <c r="A12" s="20" t="s">
        <v>321</v>
      </c>
      <c r="B12" s="20" t="s">
        <v>400</v>
      </c>
      <c r="C12" s="21">
        <v>171.55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350</v>
      </c>
      <c r="B13" s="20" t="s">
        <v>396</v>
      </c>
      <c r="C13" s="21">
        <v>209.6</v>
      </c>
      <c r="D13" s="26"/>
      <c r="F13" s="31"/>
      <c r="G13" s="31"/>
      <c r="H13" s="31"/>
    </row>
    <row r="14" spans="1:11" s="24" customFormat="1" x14ac:dyDescent="0.2">
      <c r="A14" s="29"/>
      <c r="B14" s="29"/>
      <c r="C14" s="30"/>
      <c r="D14" s="26"/>
      <c r="F14" s="31"/>
      <c r="G14" s="31"/>
      <c r="H14" s="31"/>
      <c r="I14" s="26"/>
    </row>
    <row r="15" spans="1:11" s="24" customFormat="1" x14ac:dyDescent="0.2">
      <c r="A15" s="32" t="s">
        <v>13</v>
      </c>
      <c r="B15" s="25"/>
      <c r="C15" s="27"/>
      <c r="D15" s="26"/>
      <c r="F15" s="31"/>
      <c r="G15" s="31"/>
      <c r="H15" s="31"/>
      <c r="I15" s="26"/>
    </row>
    <row r="16" spans="1:11" s="24" customFormat="1" x14ac:dyDescent="0.2">
      <c r="A16" s="20" t="s">
        <v>300</v>
      </c>
      <c r="B16" s="20" t="s">
        <v>389</v>
      </c>
      <c r="C16" s="20">
        <v>336</v>
      </c>
      <c r="D16" s="26"/>
      <c r="F16" s="31"/>
      <c r="G16" s="31"/>
      <c r="H16" s="31"/>
      <c r="I16" s="26"/>
    </row>
    <row r="17" spans="1:9" s="24" customFormat="1" x14ac:dyDescent="0.2">
      <c r="A17" s="20" t="s">
        <v>316</v>
      </c>
      <c r="B17" s="20" t="s">
        <v>392</v>
      </c>
      <c r="C17" s="21">
        <v>525</v>
      </c>
      <c r="D17" s="26"/>
      <c r="F17" s="31"/>
      <c r="G17" s="31"/>
      <c r="H17" s="31"/>
      <c r="I17" s="26"/>
    </row>
    <row r="18" spans="1:9" s="24" customFormat="1" x14ac:dyDescent="0.2">
      <c r="A18" s="20" t="s">
        <v>378</v>
      </c>
      <c r="B18" s="20" t="s">
        <v>393</v>
      </c>
      <c r="C18" s="21">
        <v>216.5</v>
      </c>
      <c r="D18" s="26"/>
      <c r="F18" s="31"/>
      <c r="G18" s="31"/>
      <c r="H18" s="31"/>
      <c r="I18" s="26"/>
    </row>
    <row r="19" spans="1:9" s="24" customFormat="1" x14ac:dyDescent="0.2">
      <c r="A19" s="20" t="s">
        <v>379</v>
      </c>
      <c r="B19" s="20" t="s">
        <v>395</v>
      </c>
      <c r="C19" s="20">
        <v>83.47</v>
      </c>
      <c r="D19" s="26"/>
      <c r="F19" s="31"/>
      <c r="G19" s="31"/>
      <c r="H19" s="31"/>
      <c r="I19" s="26"/>
    </row>
    <row r="20" spans="1:9" s="24" customFormat="1" x14ac:dyDescent="0.2">
      <c r="A20" s="20" t="s">
        <v>348</v>
      </c>
      <c r="B20" s="20" t="s">
        <v>396</v>
      </c>
      <c r="C20" s="21">
        <v>209.6</v>
      </c>
      <c r="D20" s="26"/>
      <c r="F20" s="31"/>
      <c r="G20" s="31"/>
      <c r="H20" s="31"/>
      <c r="I20" s="26"/>
    </row>
    <row r="21" spans="1:9" s="24" customFormat="1" x14ac:dyDescent="0.2">
      <c r="A21" s="20" t="s">
        <v>76</v>
      </c>
      <c r="B21" s="20" t="s">
        <v>402</v>
      </c>
      <c r="C21" s="21">
        <v>14.99</v>
      </c>
      <c r="D21" s="26"/>
      <c r="F21" s="31"/>
      <c r="G21" s="31"/>
      <c r="H21" s="31"/>
      <c r="I21" s="26"/>
    </row>
    <row r="22" spans="1:9" s="24" customFormat="1" x14ac:dyDescent="0.2">
      <c r="A22" s="20" t="s">
        <v>311</v>
      </c>
      <c r="B22" s="20" t="s">
        <v>394</v>
      </c>
      <c r="C22" s="21">
        <v>74.900000000000006</v>
      </c>
      <c r="D22" s="26"/>
      <c r="F22" s="31"/>
      <c r="G22" s="31"/>
      <c r="H22" s="31"/>
      <c r="I22" s="26"/>
    </row>
    <row r="23" spans="1:9" s="24" customFormat="1" x14ac:dyDescent="0.2">
      <c r="A23" s="20" t="s">
        <v>79</v>
      </c>
      <c r="B23" s="20" t="s">
        <v>390</v>
      </c>
      <c r="C23" s="21">
        <v>142</v>
      </c>
      <c r="D23" s="26"/>
      <c r="F23" s="31"/>
      <c r="G23" s="31"/>
      <c r="H23" s="31"/>
      <c r="I23" s="26"/>
    </row>
    <row r="24" spans="1:9" s="24" customFormat="1" x14ac:dyDescent="0.2">
      <c r="A24" s="20" t="s">
        <v>349</v>
      </c>
      <c r="B24" s="20" t="s">
        <v>396</v>
      </c>
      <c r="C24" s="21">
        <v>209.6</v>
      </c>
      <c r="D24" s="26"/>
      <c r="F24" s="26"/>
      <c r="G24" s="26"/>
      <c r="H24" s="26"/>
      <c r="I24" s="26"/>
    </row>
    <row r="25" spans="1:9" s="24" customFormat="1" x14ac:dyDescent="0.2">
      <c r="A25" s="20" t="s">
        <v>75</v>
      </c>
      <c r="B25" s="20" t="s">
        <v>395</v>
      </c>
      <c r="C25" s="21">
        <v>256.22000000000003</v>
      </c>
      <c r="D25" s="26"/>
      <c r="F25" s="68" t="s">
        <v>330</v>
      </c>
      <c r="G25" s="26"/>
      <c r="H25" s="68" t="s">
        <v>381</v>
      </c>
      <c r="I25" s="26"/>
    </row>
    <row r="26" spans="1:9" s="26" customFormat="1" x14ac:dyDescent="0.2">
      <c r="A26" s="20" t="s">
        <v>78</v>
      </c>
      <c r="B26" s="20" t="s">
        <v>403</v>
      </c>
      <c r="C26" s="21">
        <v>151.22999999999999</v>
      </c>
      <c r="F26" s="25">
        <f>(H8+H11)/2</f>
        <v>1197.44</v>
      </c>
      <c r="H26" s="25">
        <f>F26-800</f>
        <v>397.44000000000005</v>
      </c>
    </row>
    <row r="27" spans="1:9" s="26" customFormat="1" x14ac:dyDescent="0.2">
      <c r="A27" s="20" t="s">
        <v>267</v>
      </c>
      <c r="B27" s="20" t="s">
        <v>404</v>
      </c>
      <c r="C27" s="55">
        <v>28.13</v>
      </c>
    </row>
    <row r="28" spans="1:9" s="24" customFormat="1" x14ac:dyDescent="0.2">
      <c r="A28" s="20" t="s">
        <v>301</v>
      </c>
      <c r="B28" s="20" t="s">
        <v>391</v>
      </c>
      <c r="C28" s="55">
        <v>147.91999999999999</v>
      </c>
      <c r="D28" s="26"/>
      <c r="H28" s="71"/>
    </row>
    <row r="29" spans="1:9" s="24" customFormat="1" x14ac:dyDescent="0.2">
      <c r="A29" s="20" t="s">
        <v>266</v>
      </c>
      <c r="B29" s="20" t="s">
        <v>405</v>
      </c>
      <c r="C29" s="21">
        <v>55.9</v>
      </c>
      <c r="D29" s="26"/>
    </row>
    <row r="30" spans="1:9" s="26" customFormat="1" x14ac:dyDescent="0.2">
      <c r="A30" s="20" t="s">
        <v>302</v>
      </c>
      <c r="B30" s="20" t="s">
        <v>388</v>
      </c>
      <c r="C30" s="55">
        <v>184.31</v>
      </c>
    </row>
    <row r="31" spans="1:9" s="26" customFormat="1" x14ac:dyDescent="0.2">
      <c r="A31" s="14"/>
      <c r="B31" s="14"/>
      <c r="C31" s="14"/>
    </row>
    <row r="32" spans="1:9" s="26" customFormat="1" x14ac:dyDescent="0.2">
      <c r="A32"/>
      <c r="B32"/>
      <c r="C32"/>
    </row>
    <row r="33" spans="1:9" s="26" customFormat="1" x14ac:dyDescent="0.2">
      <c r="C33"/>
      <c r="I33" s="24"/>
    </row>
    <row r="34" spans="1:9" s="26" customFormat="1" x14ac:dyDescent="0.2">
      <c r="A34"/>
      <c r="B34"/>
      <c r="H34" s="24"/>
      <c r="I34" s="24"/>
    </row>
    <row r="35" spans="1:9" s="24" customFormat="1" x14ac:dyDescent="0.2">
      <c r="A35" s="74" t="s">
        <v>375</v>
      </c>
      <c r="B35"/>
      <c r="C35" s="26"/>
      <c r="D35" s="26"/>
      <c r="F35" s="26"/>
      <c r="G35" s="26"/>
    </row>
    <row r="36" spans="1:9" s="26" customFormat="1" x14ac:dyDescent="0.2">
      <c r="A36" s="4" t="s">
        <v>356</v>
      </c>
      <c r="B36"/>
    </row>
    <row r="37" spans="1:9" s="26" customFormat="1" x14ac:dyDescent="0.2">
      <c r="A37" s="4" t="s">
        <v>357</v>
      </c>
      <c r="B37"/>
    </row>
    <row r="38" spans="1:9" s="26" customFormat="1" x14ac:dyDescent="0.2">
      <c r="A38" s="4" t="s">
        <v>358</v>
      </c>
      <c r="B38"/>
      <c r="C38"/>
    </row>
    <row r="39" spans="1:9" s="24" customFormat="1" x14ac:dyDescent="0.2">
      <c r="A39" s="4" t="s">
        <v>359</v>
      </c>
      <c r="B39"/>
      <c r="C39"/>
      <c r="D39" s="26"/>
      <c r="F39" s="26"/>
      <c r="G39" s="26"/>
      <c r="I39"/>
    </row>
    <row r="40" spans="1:9" s="24" customFormat="1" x14ac:dyDescent="0.2">
      <c r="A40" s="72" t="s">
        <v>360</v>
      </c>
      <c r="B40"/>
      <c r="C40"/>
      <c r="D40" s="26"/>
      <c r="F40" s="26"/>
      <c r="I40"/>
    </row>
    <row r="41" spans="1:9" s="24" customFormat="1" x14ac:dyDescent="0.2">
      <c r="A41" s="72" t="s">
        <v>361</v>
      </c>
      <c r="B41"/>
      <c r="C41"/>
      <c r="D41" s="26"/>
      <c r="F41" s="26"/>
      <c r="G41" s="26"/>
      <c r="I41" s="26"/>
    </row>
    <row r="42" spans="1:9" s="26" customFormat="1" x14ac:dyDescent="0.2">
      <c r="A42" s="72" t="s">
        <v>362</v>
      </c>
      <c r="B42"/>
      <c r="C42"/>
    </row>
    <row r="43" spans="1:9" s="26" customFormat="1" x14ac:dyDescent="0.2">
      <c r="A43" s="72" t="s">
        <v>363</v>
      </c>
      <c r="B43"/>
      <c r="C43"/>
      <c r="I43"/>
    </row>
    <row r="44" spans="1:9" x14ac:dyDescent="0.2">
      <c r="A44" s="72" t="s">
        <v>364</v>
      </c>
      <c r="B44" s="44"/>
      <c r="F44" s="26"/>
      <c r="G44" s="26"/>
    </row>
    <row r="45" spans="1:9" x14ac:dyDescent="0.2">
      <c r="A45" s="25" t="s">
        <v>365</v>
      </c>
      <c r="B45" s="44"/>
      <c r="F45" s="26"/>
      <c r="G45" s="26"/>
    </row>
    <row r="46" spans="1:9" s="26" customFormat="1" x14ac:dyDescent="0.2">
      <c r="A46" s="73" t="s">
        <v>366</v>
      </c>
      <c r="B46" s="44"/>
      <c r="C46"/>
      <c r="I46"/>
    </row>
    <row r="47" spans="1:9" s="26" customFormat="1" x14ac:dyDescent="0.2">
      <c r="A47" s="25" t="s">
        <v>367</v>
      </c>
      <c r="B47" s="44"/>
      <c r="C47"/>
      <c r="F47"/>
      <c r="I47"/>
    </row>
    <row r="48" spans="1:9" x14ac:dyDescent="0.2">
      <c r="A48" s="25" t="s">
        <v>368</v>
      </c>
      <c r="B48" s="44"/>
      <c r="G48" s="26"/>
    </row>
    <row r="49" spans="1:6" x14ac:dyDescent="0.2">
      <c r="A49" s="25" t="s">
        <v>369</v>
      </c>
      <c r="B49" s="26"/>
      <c r="F49" s="26"/>
    </row>
    <row r="50" spans="1:6" x14ac:dyDescent="0.2">
      <c r="A50" s="25" t="s">
        <v>370</v>
      </c>
      <c r="B50" s="26"/>
      <c r="F50" s="26"/>
    </row>
    <row r="51" spans="1:6" x14ac:dyDescent="0.2">
      <c r="A51" s="25" t="s">
        <v>407</v>
      </c>
      <c r="B51" s="26"/>
    </row>
    <row r="52" spans="1:6" x14ac:dyDescent="0.2">
      <c r="A52" s="26"/>
      <c r="B52" s="26"/>
    </row>
    <row r="53" spans="1:6" x14ac:dyDescent="0.2">
      <c r="A53" s="26"/>
      <c r="B53" s="26"/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57"/>
  <sheetViews>
    <sheetView topLeftCell="A4" workbookViewId="0">
      <selection activeCell="A30" sqref="A30:C30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385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2293.6</v>
      </c>
      <c r="C3" s="51">
        <v>2293.61</v>
      </c>
      <c r="H3" s="26"/>
    </row>
    <row r="4" spans="1:11" x14ac:dyDescent="0.2">
      <c r="A4" s="26" t="s">
        <v>265</v>
      </c>
      <c r="B4">
        <v>1188.71</v>
      </c>
      <c r="C4">
        <v>1188.71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387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3482.31</v>
      </c>
      <c r="G8" s="27">
        <f>C9+C10+C11+C12+C13+C14+C15+C16+C17</f>
        <v>2205.9699999999998</v>
      </c>
      <c r="H8" s="27">
        <f>F8-G8</f>
        <v>1276.3400000000001</v>
      </c>
    </row>
    <row r="9" spans="1:11" s="24" customFormat="1" x14ac:dyDescent="0.2">
      <c r="A9" s="20" t="s">
        <v>293</v>
      </c>
      <c r="B9" s="20" t="s">
        <v>389</v>
      </c>
      <c r="C9" s="20">
        <v>1215.17</v>
      </c>
      <c r="D9" s="26"/>
      <c r="F9" s="31"/>
      <c r="G9" s="31"/>
      <c r="H9" s="67"/>
      <c r="I9" s="26"/>
    </row>
    <row r="10" spans="1:11" s="24" customFormat="1" x14ac:dyDescent="0.2">
      <c r="A10" s="20" t="s">
        <v>351</v>
      </c>
      <c r="B10" s="20" t="s">
        <v>396</v>
      </c>
      <c r="C10" s="21">
        <v>209.6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320</v>
      </c>
      <c r="B11" s="20" t="s">
        <v>401</v>
      </c>
      <c r="C11" s="21">
        <v>128.05000000000001</v>
      </c>
      <c r="D11" s="26"/>
      <c r="F11" s="33">
        <f>B3+B4</f>
        <v>3482.31</v>
      </c>
      <c r="G11" s="27">
        <f>C20+C21+C22+C23+C24+C25+C26+C27+C28+C29+C30+C31+C32+C33+C34</f>
        <v>2627.59</v>
      </c>
      <c r="H11" s="27">
        <f>F11-G11</f>
        <v>854.7199999999998</v>
      </c>
      <c r="I11" s="26"/>
    </row>
    <row r="12" spans="1:11" s="24" customFormat="1" x14ac:dyDescent="0.2">
      <c r="A12" s="20" t="s">
        <v>321</v>
      </c>
      <c r="B12" s="20" t="s">
        <v>400</v>
      </c>
      <c r="C12" s="21">
        <v>171.55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350</v>
      </c>
      <c r="B13" s="20" t="s">
        <v>396</v>
      </c>
      <c r="C13" s="21">
        <v>209.6</v>
      </c>
      <c r="D13" s="26"/>
      <c r="F13" s="31"/>
      <c r="G13" s="31"/>
      <c r="H13" s="31"/>
    </row>
    <row r="14" spans="1:11" s="24" customFormat="1" x14ac:dyDescent="0.2">
      <c r="A14" s="20" t="s">
        <v>319</v>
      </c>
      <c r="B14" s="20" t="s">
        <v>400</v>
      </c>
      <c r="C14" s="21">
        <v>53</v>
      </c>
      <c r="D14" s="26"/>
      <c r="F14" s="31"/>
      <c r="G14" s="31"/>
      <c r="H14" s="31"/>
      <c r="I14" s="26"/>
    </row>
    <row r="15" spans="1:11" s="24" customFormat="1" x14ac:dyDescent="0.2">
      <c r="A15" s="20" t="s">
        <v>373</v>
      </c>
      <c r="B15" s="20" t="s">
        <v>399</v>
      </c>
      <c r="C15" s="21">
        <v>44</v>
      </c>
      <c r="D15" s="26"/>
      <c r="F15" s="31"/>
      <c r="G15" s="31"/>
      <c r="H15" s="31"/>
      <c r="I15" s="26"/>
    </row>
    <row r="16" spans="1:11" s="24" customFormat="1" x14ac:dyDescent="0.2">
      <c r="A16" s="20" t="s">
        <v>384</v>
      </c>
      <c r="B16" s="20" t="s">
        <v>397</v>
      </c>
      <c r="C16" s="21">
        <v>122</v>
      </c>
      <c r="D16" s="26"/>
      <c r="F16" s="31"/>
      <c r="G16" s="31"/>
      <c r="H16" s="31"/>
      <c r="I16" s="26"/>
    </row>
    <row r="17" spans="1:9" s="24" customFormat="1" x14ac:dyDescent="0.2">
      <c r="A17" s="20" t="s">
        <v>354</v>
      </c>
      <c r="B17" s="20" t="s">
        <v>398</v>
      </c>
      <c r="C17" s="21">
        <v>53</v>
      </c>
      <c r="D17" s="26"/>
      <c r="F17" s="31"/>
      <c r="G17" s="31"/>
      <c r="H17" s="31"/>
      <c r="I17" s="26"/>
    </row>
    <row r="18" spans="1:9" s="24" customFormat="1" x14ac:dyDescent="0.2">
      <c r="A18" s="29"/>
      <c r="B18" s="29"/>
      <c r="C18" s="30"/>
      <c r="D18" s="26"/>
      <c r="F18" s="31"/>
      <c r="G18" s="31"/>
      <c r="H18" s="31"/>
      <c r="I18" s="26"/>
    </row>
    <row r="19" spans="1:9" s="24" customFormat="1" x14ac:dyDescent="0.2">
      <c r="A19" s="32" t="s">
        <v>13</v>
      </c>
      <c r="B19" s="25"/>
      <c r="C19" s="27"/>
      <c r="D19" s="26"/>
      <c r="F19" s="31"/>
      <c r="G19" s="31"/>
      <c r="H19" s="31"/>
      <c r="I19" s="26"/>
    </row>
    <row r="20" spans="1:9" s="24" customFormat="1" x14ac:dyDescent="0.2">
      <c r="A20" s="20" t="s">
        <v>300</v>
      </c>
      <c r="B20" s="20" t="s">
        <v>389</v>
      </c>
      <c r="C20" s="20">
        <v>336</v>
      </c>
      <c r="D20" s="26"/>
      <c r="F20" s="31"/>
      <c r="G20" s="31"/>
      <c r="H20" s="31"/>
      <c r="I20" s="26"/>
    </row>
    <row r="21" spans="1:9" s="24" customFormat="1" x14ac:dyDescent="0.2">
      <c r="A21" s="20" t="s">
        <v>316</v>
      </c>
      <c r="B21" s="20" t="s">
        <v>392</v>
      </c>
      <c r="C21" s="21">
        <v>525</v>
      </c>
      <c r="D21" s="26"/>
      <c r="F21" s="31"/>
      <c r="G21" s="31"/>
      <c r="H21" s="31"/>
      <c r="I21" s="26"/>
    </row>
    <row r="22" spans="1:9" s="24" customFormat="1" x14ac:dyDescent="0.2">
      <c r="A22" s="20" t="s">
        <v>378</v>
      </c>
      <c r="B22" s="20" t="s">
        <v>393</v>
      </c>
      <c r="C22" s="21">
        <v>216.5</v>
      </c>
      <c r="D22" s="26"/>
      <c r="F22" s="31"/>
      <c r="G22" s="31"/>
      <c r="H22" s="31"/>
      <c r="I22" s="26"/>
    </row>
    <row r="23" spans="1:9" s="24" customFormat="1" x14ac:dyDescent="0.2">
      <c r="A23" s="20" t="s">
        <v>379</v>
      </c>
      <c r="B23" s="20" t="s">
        <v>395</v>
      </c>
      <c r="C23" s="20">
        <v>83.47</v>
      </c>
      <c r="D23" s="26"/>
      <c r="F23" s="31"/>
      <c r="G23" s="31"/>
      <c r="H23" s="31"/>
      <c r="I23" s="26"/>
    </row>
    <row r="24" spans="1:9" s="24" customFormat="1" x14ac:dyDescent="0.2">
      <c r="A24" s="20" t="s">
        <v>348</v>
      </c>
      <c r="B24" s="20" t="s">
        <v>396</v>
      </c>
      <c r="C24" s="21">
        <v>209.6</v>
      </c>
      <c r="D24" s="26"/>
      <c r="F24" s="26"/>
      <c r="G24" s="26"/>
      <c r="H24" s="26"/>
      <c r="I24" s="26"/>
    </row>
    <row r="25" spans="1:9" s="24" customFormat="1" x14ac:dyDescent="0.2">
      <c r="A25" s="20" t="s">
        <v>76</v>
      </c>
      <c r="B25" s="20" t="s">
        <v>402</v>
      </c>
      <c r="C25" s="21">
        <v>14.99</v>
      </c>
      <c r="D25" s="26"/>
      <c r="F25" s="68" t="s">
        <v>330</v>
      </c>
      <c r="G25" s="26"/>
      <c r="H25" s="68" t="s">
        <v>381</v>
      </c>
      <c r="I25" s="26"/>
    </row>
    <row r="26" spans="1:9" s="26" customFormat="1" x14ac:dyDescent="0.2">
      <c r="A26" s="20" t="s">
        <v>311</v>
      </c>
      <c r="B26" s="20" t="s">
        <v>394</v>
      </c>
      <c r="C26" s="21">
        <v>74.900000000000006</v>
      </c>
      <c r="F26" s="25">
        <f>(H8+H11)/2</f>
        <v>1065.53</v>
      </c>
      <c r="H26" s="25">
        <f>F26-800</f>
        <v>265.52999999999997</v>
      </c>
    </row>
    <row r="27" spans="1:9" s="26" customFormat="1" x14ac:dyDescent="0.2">
      <c r="A27" s="20" t="s">
        <v>79</v>
      </c>
      <c r="B27" s="20" t="s">
        <v>390</v>
      </c>
      <c r="C27" s="21">
        <v>142</v>
      </c>
    </row>
    <row r="28" spans="1:9" s="24" customFormat="1" x14ac:dyDescent="0.2">
      <c r="A28" s="20" t="s">
        <v>349</v>
      </c>
      <c r="B28" s="20" t="s">
        <v>396</v>
      </c>
      <c r="C28" s="21">
        <v>209.6</v>
      </c>
      <c r="D28" s="26"/>
      <c r="H28" s="71"/>
    </row>
    <row r="29" spans="1:9" s="24" customFormat="1" x14ac:dyDescent="0.2">
      <c r="A29" s="20" t="s">
        <v>75</v>
      </c>
      <c r="B29" s="20" t="s">
        <v>395</v>
      </c>
      <c r="C29" s="21">
        <v>256.22000000000003</v>
      </c>
      <c r="D29" s="26"/>
    </row>
    <row r="30" spans="1:9" s="26" customFormat="1" x14ac:dyDescent="0.2">
      <c r="A30" s="20" t="s">
        <v>78</v>
      </c>
      <c r="B30" s="20" t="s">
        <v>403</v>
      </c>
      <c r="C30" s="21">
        <v>151.22999999999999</v>
      </c>
    </row>
    <row r="31" spans="1:9" s="26" customFormat="1" x14ac:dyDescent="0.2">
      <c r="A31" s="20" t="s">
        <v>267</v>
      </c>
      <c r="B31" s="20" t="s">
        <v>404</v>
      </c>
      <c r="C31" s="55">
        <v>28.13</v>
      </c>
    </row>
    <row r="32" spans="1:9" s="26" customFormat="1" x14ac:dyDescent="0.2">
      <c r="A32" s="20" t="s">
        <v>301</v>
      </c>
      <c r="B32" s="20" t="s">
        <v>391</v>
      </c>
      <c r="C32" s="55">
        <v>141.54</v>
      </c>
    </row>
    <row r="33" spans="1:9" s="26" customFormat="1" x14ac:dyDescent="0.2">
      <c r="A33" s="20" t="s">
        <v>266</v>
      </c>
      <c r="B33" s="20" t="s">
        <v>405</v>
      </c>
      <c r="C33" s="21">
        <v>55.9</v>
      </c>
      <c r="I33" s="24"/>
    </row>
    <row r="34" spans="1:9" s="26" customFormat="1" x14ac:dyDescent="0.2">
      <c r="A34" s="20" t="s">
        <v>302</v>
      </c>
      <c r="B34" s="20" t="s">
        <v>388</v>
      </c>
      <c r="C34" s="55">
        <v>182.51</v>
      </c>
      <c r="H34" s="24"/>
      <c r="I34" s="24"/>
    </row>
    <row r="35" spans="1:9" s="24" customFormat="1" x14ac:dyDescent="0.2">
      <c r="A35" s="14"/>
      <c r="B35" s="14"/>
      <c r="C35" s="14"/>
      <c r="D35" s="26"/>
      <c r="F35" s="26"/>
      <c r="G35" s="26"/>
    </row>
    <row r="36" spans="1:9" s="26" customFormat="1" x14ac:dyDescent="0.2">
      <c r="A36"/>
      <c r="B36"/>
      <c r="C36"/>
    </row>
    <row r="37" spans="1:9" s="26" customFormat="1" x14ac:dyDescent="0.2">
      <c r="C37"/>
    </row>
    <row r="38" spans="1:9" s="26" customFormat="1" x14ac:dyDescent="0.2">
      <c r="A38"/>
      <c r="B38"/>
    </row>
    <row r="39" spans="1:9" s="24" customFormat="1" x14ac:dyDescent="0.2">
      <c r="A39" s="74" t="s">
        <v>375</v>
      </c>
      <c r="B39"/>
      <c r="C39" s="26"/>
      <c r="D39" s="26"/>
      <c r="F39" s="26"/>
      <c r="G39" s="26"/>
      <c r="I39"/>
    </row>
    <row r="40" spans="1:9" s="24" customFormat="1" x14ac:dyDescent="0.2">
      <c r="A40" s="4" t="s">
        <v>356</v>
      </c>
      <c r="B40"/>
      <c r="C40" s="26"/>
      <c r="D40" s="26"/>
      <c r="F40" s="26"/>
      <c r="I40"/>
    </row>
    <row r="41" spans="1:9" s="24" customFormat="1" x14ac:dyDescent="0.2">
      <c r="A41" s="4" t="s">
        <v>357</v>
      </c>
      <c r="B41"/>
      <c r="C41" s="26"/>
      <c r="D41" s="26"/>
      <c r="F41" s="26"/>
      <c r="G41" s="26"/>
      <c r="I41" s="26"/>
    </row>
    <row r="42" spans="1:9" s="26" customFormat="1" x14ac:dyDescent="0.2">
      <c r="A42" s="4" t="s">
        <v>358</v>
      </c>
      <c r="B42"/>
      <c r="C42"/>
    </row>
    <row r="43" spans="1:9" s="26" customFormat="1" x14ac:dyDescent="0.2">
      <c r="A43" s="4" t="s">
        <v>359</v>
      </c>
      <c r="B43"/>
      <c r="C43"/>
      <c r="I43"/>
    </row>
    <row r="44" spans="1:9" x14ac:dyDescent="0.2">
      <c r="A44" s="72" t="s">
        <v>360</v>
      </c>
      <c r="F44" s="26"/>
      <c r="G44" s="26"/>
    </row>
    <row r="45" spans="1:9" x14ac:dyDescent="0.2">
      <c r="A45" s="72" t="s">
        <v>361</v>
      </c>
      <c r="F45" s="26"/>
      <c r="G45" s="26"/>
    </row>
    <row r="46" spans="1:9" s="26" customFormat="1" x14ac:dyDescent="0.2">
      <c r="A46" s="72" t="s">
        <v>362</v>
      </c>
      <c r="B46"/>
      <c r="C46"/>
      <c r="I46"/>
    </row>
    <row r="47" spans="1:9" s="26" customFormat="1" x14ac:dyDescent="0.2">
      <c r="A47" s="72" t="s">
        <v>363</v>
      </c>
      <c r="B47"/>
      <c r="C47"/>
      <c r="F47"/>
      <c r="I47"/>
    </row>
    <row r="48" spans="1:9" x14ac:dyDescent="0.2">
      <c r="A48" s="72" t="s">
        <v>364</v>
      </c>
      <c r="B48" s="44"/>
      <c r="G48" s="26"/>
    </row>
    <row r="49" spans="1:6" x14ac:dyDescent="0.2">
      <c r="A49" s="25" t="s">
        <v>365</v>
      </c>
      <c r="B49" s="44"/>
      <c r="F49" s="26"/>
    </row>
    <row r="50" spans="1:6" x14ac:dyDescent="0.2">
      <c r="A50" s="73" t="s">
        <v>366</v>
      </c>
      <c r="B50" s="44"/>
      <c r="F50" s="26"/>
    </row>
    <row r="51" spans="1:6" x14ac:dyDescent="0.2">
      <c r="A51" s="25" t="s">
        <v>367</v>
      </c>
      <c r="B51" s="44"/>
    </row>
    <row r="52" spans="1:6" x14ac:dyDescent="0.2">
      <c r="A52" s="25" t="s">
        <v>368</v>
      </c>
      <c r="B52" s="44"/>
    </row>
    <row r="53" spans="1:6" x14ac:dyDescent="0.2">
      <c r="A53" s="25" t="s">
        <v>369</v>
      </c>
      <c r="B53" s="26"/>
    </row>
    <row r="54" spans="1:6" x14ac:dyDescent="0.2">
      <c r="A54" s="25" t="s">
        <v>370</v>
      </c>
      <c r="B54" s="26"/>
    </row>
    <row r="55" spans="1:6" x14ac:dyDescent="0.2">
      <c r="A55" s="25" t="s">
        <v>371</v>
      </c>
      <c r="B55" s="26"/>
    </row>
    <row r="56" spans="1:6" x14ac:dyDescent="0.2">
      <c r="A56" s="26"/>
      <c r="B56" s="26"/>
    </row>
    <row r="57" spans="1:6" x14ac:dyDescent="0.2">
      <c r="A57" s="26"/>
      <c r="B57" s="26"/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K58"/>
  <sheetViews>
    <sheetView workbookViewId="0">
      <selection activeCell="A31" sqref="A31:C31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382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2293.6</v>
      </c>
      <c r="C3" s="51">
        <v>2293.61</v>
      </c>
      <c r="H3" s="26"/>
    </row>
    <row r="4" spans="1:11" x14ac:dyDescent="0.2">
      <c r="A4" s="26" t="s">
        <v>265</v>
      </c>
      <c r="B4">
        <v>1188.71</v>
      </c>
      <c r="C4">
        <v>1188.71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32" t="s">
        <v>386</v>
      </c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3482.31</v>
      </c>
      <c r="G8" s="27">
        <f>C9+C10+C11+C12+C13+C14+C15+C16+C17</f>
        <v>2163.71</v>
      </c>
      <c r="H8" s="25">
        <f>F8-G8</f>
        <v>1318.6</v>
      </c>
    </row>
    <row r="9" spans="1:11" s="24" customFormat="1" x14ac:dyDescent="0.2">
      <c r="A9" s="20" t="s">
        <v>293</v>
      </c>
      <c r="B9" s="20"/>
      <c r="C9" s="20">
        <v>1215.17</v>
      </c>
      <c r="D9" s="26"/>
      <c r="F9" s="31"/>
      <c r="G9" s="31"/>
      <c r="H9" s="67"/>
      <c r="I9" s="26"/>
    </row>
    <row r="10" spans="1:11" s="24" customFormat="1" x14ac:dyDescent="0.2">
      <c r="A10" s="20" t="s">
        <v>351</v>
      </c>
      <c r="B10" s="20"/>
      <c r="C10" s="21">
        <v>209.6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320</v>
      </c>
      <c r="B11" s="20"/>
      <c r="C11" s="21">
        <v>128.05000000000001</v>
      </c>
      <c r="D11" s="26"/>
      <c r="F11" s="33">
        <f>B3+B4</f>
        <v>3482.31</v>
      </c>
      <c r="G11" s="27">
        <f>C20+C21+C22+C23+C24+C25+C26+C27+C28+C29+C30+C31+C32+C33+C34+C35</f>
        <v>2712.39</v>
      </c>
      <c r="H11" s="25">
        <f>F11-G11</f>
        <v>769.92000000000007</v>
      </c>
      <c r="I11" s="26"/>
    </row>
    <row r="12" spans="1:11" s="24" customFormat="1" x14ac:dyDescent="0.2">
      <c r="A12" s="20" t="s">
        <v>321</v>
      </c>
      <c r="B12" s="20"/>
      <c r="C12" s="21">
        <v>167.29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350</v>
      </c>
      <c r="B13" s="20"/>
      <c r="C13" s="21">
        <v>209.6</v>
      </c>
      <c r="D13" s="26"/>
      <c r="F13" s="31"/>
      <c r="G13" s="31"/>
      <c r="H13" s="31"/>
    </row>
    <row r="14" spans="1:11" s="24" customFormat="1" x14ac:dyDescent="0.2">
      <c r="A14" s="20" t="s">
        <v>319</v>
      </c>
      <c r="B14" s="20"/>
      <c r="C14" s="21">
        <v>25</v>
      </c>
      <c r="D14" s="26"/>
      <c r="F14" s="31"/>
      <c r="G14" s="31"/>
      <c r="H14" s="31"/>
      <c r="I14" s="26"/>
    </row>
    <row r="15" spans="1:11" s="24" customFormat="1" x14ac:dyDescent="0.2">
      <c r="A15" s="20" t="s">
        <v>373</v>
      </c>
      <c r="B15" s="20"/>
      <c r="C15" s="21">
        <v>30</v>
      </c>
      <c r="D15" s="26"/>
      <c r="F15" s="31"/>
      <c r="G15" s="31"/>
      <c r="H15" s="31"/>
      <c r="I15" s="26"/>
    </row>
    <row r="16" spans="1:11" s="24" customFormat="1" x14ac:dyDescent="0.2">
      <c r="A16" s="20" t="s">
        <v>384</v>
      </c>
      <c r="B16" s="20"/>
      <c r="C16" s="21">
        <v>122</v>
      </c>
      <c r="D16" s="26"/>
      <c r="F16" s="31"/>
      <c r="G16" s="31"/>
      <c r="H16" s="31"/>
      <c r="I16" s="26"/>
    </row>
    <row r="17" spans="1:9" s="24" customFormat="1" x14ac:dyDescent="0.2">
      <c r="A17" s="20" t="s">
        <v>354</v>
      </c>
      <c r="B17" s="20"/>
      <c r="C17" s="21">
        <v>57</v>
      </c>
      <c r="D17" s="26"/>
      <c r="F17" s="31"/>
      <c r="G17" s="31"/>
      <c r="H17" s="31"/>
      <c r="I17" s="26"/>
    </row>
    <row r="18" spans="1:9" s="24" customFormat="1" x14ac:dyDescent="0.2">
      <c r="A18" s="29"/>
      <c r="B18" s="29"/>
      <c r="C18" s="30"/>
      <c r="D18" s="26"/>
      <c r="F18" s="31"/>
      <c r="G18" s="31"/>
      <c r="H18" s="31"/>
      <c r="I18" s="26"/>
    </row>
    <row r="19" spans="1:9" s="24" customFormat="1" x14ac:dyDescent="0.2">
      <c r="A19" s="32" t="s">
        <v>13</v>
      </c>
      <c r="B19" s="25"/>
      <c r="C19" s="27"/>
      <c r="D19" s="26"/>
      <c r="F19" s="31"/>
      <c r="G19" s="31"/>
      <c r="H19" s="31"/>
      <c r="I19" s="26"/>
    </row>
    <row r="20" spans="1:9" s="24" customFormat="1" x14ac:dyDescent="0.2">
      <c r="A20" s="20" t="s">
        <v>300</v>
      </c>
      <c r="B20" s="20"/>
      <c r="C20" s="20">
        <v>336</v>
      </c>
      <c r="D20" s="26"/>
      <c r="F20" s="31"/>
      <c r="G20" s="31"/>
      <c r="H20" s="31"/>
      <c r="I20" s="26"/>
    </row>
    <row r="21" spans="1:9" s="24" customFormat="1" x14ac:dyDescent="0.2">
      <c r="A21" s="20" t="s">
        <v>316</v>
      </c>
      <c r="B21" s="20"/>
      <c r="C21" s="21">
        <v>525</v>
      </c>
      <c r="D21" s="26"/>
      <c r="F21" s="31"/>
      <c r="G21" s="31"/>
      <c r="H21" s="31"/>
      <c r="I21" s="26"/>
    </row>
    <row r="22" spans="1:9" s="24" customFormat="1" x14ac:dyDescent="0.2">
      <c r="A22" s="20" t="s">
        <v>378</v>
      </c>
      <c r="B22" s="20"/>
      <c r="C22" s="21">
        <v>216.5</v>
      </c>
      <c r="D22" s="26"/>
      <c r="F22" s="31"/>
      <c r="G22" s="31"/>
      <c r="H22" s="31"/>
      <c r="I22" s="26"/>
    </row>
    <row r="23" spans="1:9" s="24" customFormat="1" x14ac:dyDescent="0.2">
      <c r="A23" s="20" t="s">
        <v>379</v>
      </c>
      <c r="B23" s="20"/>
      <c r="C23" s="20">
        <v>83.47</v>
      </c>
      <c r="D23" s="26"/>
      <c r="F23" s="31"/>
      <c r="G23" s="31"/>
      <c r="H23" s="31"/>
      <c r="I23" s="26"/>
    </row>
    <row r="24" spans="1:9" s="24" customFormat="1" x14ac:dyDescent="0.2">
      <c r="A24" s="20" t="s">
        <v>348</v>
      </c>
      <c r="B24" s="20"/>
      <c r="C24" s="21">
        <v>209.6</v>
      </c>
      <c r="D24" s="26"/>
      <c r="F24" s="26"/>
      <c r="G24" s="26"/>
      <c r="H24" s="26"/>
      <c r="I24" s="26"/>
    </row>
    <row r="25" spans="1:9" s="24" customFormat="1" x14ac:dyDescent="0.2">
      <c r="A25" s="20" t="s">
        <v>76</v>
      </c>
      <c r="B25" s="20"/>
      <c r="C25" s="21">
        <v>14.99</v>
      </c>
      <c r="D25" s="26"/>
      <c r="F25" s="68" t="s">
        <v>330</v>
      </c>
      <c r="G25" s="26"/>
      <c r="H25" s="68" t="s">
        <v>381</v>
      </c>
      <c r="I25" s="26"/>
    </row>
    <row r="26" spans="1:9" s="26" customFormat="1" x14ac:dyDescent="0.2">
      <c r="A26" s="20" t="s">
        <v>311</v>
      </c>
      <c r="B26" s="20"/>
      <c r="C26" s="21">
        <v>74.900000000000006</v>
      </c>
      <c r="F26" s="25">
        <f>(H8+H11)/2</f>
        <v>1044.26</v>
      </c>
      <c r="H26" s="25">
        <f>F26-800</f>
        <v>244.26</v>
      </c>
    </row>
    <row r="27" spans="1:9" s="26" customFormat="1" x14ac:dyDescent="0.2">
      <c r="A27" s="20" t="s">
        <v>79</v>
      </c>
      <c r="B27" s="20"/>
      <c r="C27" s="21">
        <v>142</v>
      </c>
    </row>
    <row r="28" spans="1:9" s="24" customFormat="1" x14ac:dyDescent="0.2">
      <c r="A28" s="20" t="s">
        <v>349</v>
      </c>
      <c r="B28" s="20"/>
      <c r="C28" s="21">
        <v>209.6</v>
      </c>
      <c r="D28" s="26"/>
      <c r="H28" s="71"/>
    </row>
    <row r="29" spans="1:9" s="24" customFormat="1" x14ac:dyDescent="0.2">
      <c r="A29" s="20" t="s">
        <v>75</v>
      </c>
      <c r="B29" s="20"/>
      <c r="C29" s="21">
        <v>256.22000000000003</v>
      </c>
      <c r="D29" s="26"/>
    </row>
    <row r="30" spans="1:9" s="24" customFormat="1" x14ac:dyDescent="0.2">
      <c r="A30" s="20" t="s">
        <v>383</v>
      </c>
      <c r="B30" s="20"/>
      <c r="C30" s="21">
        <v>171.55</v>
      </c>
      <c r="D30" s="26"/>
    </row>
    <row r="31" spans="1:9" s="26" customFormat="1" x14ac:dyDescent="0.2">
      <c r="A31" s="20" t="s">
        <v>78</v>
      </c>
      <c r="B31" s="20"/>
      <c r="C31" s="21">
        <v>71.77</v>
      </c>
    </row>
    <row r="32" spans="1:9" s="26" customFormat="1" x14ac:dyDescent="0.2">
      <c r="A32" s="20" t="s">
        <v>267</v>
      </c>
      <c r="B32" s="20"/>
      <c r="C32" s="55">
        <v>28.13</v>
      </c>
    </row>
    <row r="33" spans="1:9" s="26" customFormat="1" x14ac:dyDescent="0.2">
      <c r="A33" s="20" t="s">
        <v>301</v>
      </c>
      <c r="B33" s="20"/>
      <c r="C33" s="55">
        <v>133.47</v>
      </c>
    </row>
    <row r="34" spans="1:9" s="26" customFormat="1" x14ac:dyDescent="0.2">
      <c r="A34" s="20" t="s">
        <v>266</v>
      </c>
      <c r="B34" s="20"/>
      <c r="C34" s="21">
        <v>55.9</v>
      </c>
      <c r="I34" s="24"/>
    </row>
    <row r="35" spans="1:9" s="26" customFormat="1" x14ac:dyDescent="0.2">
      <c r="A35" s="20" t="s">
        <v>302</v>
      </c>
      <c r="B35" s="20"/>
      <c r="C35" s="55">
        <v>183.29</v>
      </c>
      <c r="H35" s="24"/>
      <c r="I35" s="24"/>
    </row>
    <row r="36" spans="1:9" s="24" customFormat="1" x14ac:dyDescent="0.2">
      <c r="A36" s="14"/>
      <c r="B36" s="14"/>
      <c r="C36" s="14"/>
      <c r="D36" s="26"/>
      <c r="F36" s="26"/>
      <c r="G36" s="26"/>
    </row>
    <row r="37" spans="1:9" s="26" customFormat="1" x14ac:dyDescent="0.2">
      <c r="A37"/>
      <c r="B37"/>
      <c r="C37"/>
    </row>
    <row r="38" spans="1:9" s="26" customFormat="1" x14ac:dyDescent="0.2">
      <c r="C38"/>
    </row>
    <row r="39" spans="1:9" s="26" customFormat="1" x14ac:dyDescent="0.2">
      <c r="A39"/>
      <c r="B39"/>
    </row>
    <row r="40" spans="1:9" s="24" customFormat="1" x14ac:dyDescent="0.2">
      <c r="A40" s="74" t="s">
        <v>375</v>
      </c>
      <c r="B40"/>
      <c r="C40" s="26"/>
      <c r="D40" s="26"/>
      <c r="F40" s="26"/>
      <c r="G40" s="26"/>
      <c r="I40"/>
    </row>
    <row r="41" spans="1:9" s="24" customFormat="1" x14ac:dyDescent="0.2">
      <c r="A41" s="4" t="s">
        <v>356</v>
      </c>
      <c r="B41"/>
      <c r="C41" s="26"/>
      <c r="D41" s="26"/>
      <c r="F41" s="26"/>
      <c r="I41"/>
    </row>
    <row r="42" spans="1:9" s="24" customFormat="1" x14ac:dyDescent="0.2">
      <c r="A42" s="4" t="s">
        <v>357</v>
      </c>
      <c r="B42"/>
      <c r="C42" s="26"/>
      <c r="D42" s="26"/>
      <c r="F42" s="26"/>
      <c r="G42" s="26"/>
      <c r="I42" s="26"/>
    </row>
    <row r="43" spans="1:9" s="26" customFormat="1" x14ac:dyDescent="0.2">
      <c r="A43" s="4" t="s">
        <v>358</v>
      </c>
      <c r="B43"/>
      <c r="C43"/>
    </row>
    <row r="44" spans="1:9" s="26" customFormat="1" x14ac:dyDescent="0.2">
      <c r="A44" s="4" t="s">
        <v>359</v>
      </c>
      <c r="B44"/>
      <c r="C44"/>
      <c r="I44"/>
    </row>
    <row r="45" spans="1:9" x14ac:dyDescent="0.2">
      <c r="A45" s="72" t="s">
        <v>360</v>
      </c>
      <c r="F45" s="26"/>
      <c r="G45" s="26"/>
    </row>
    <row r="46" spans="1:9" x14ac:dyDescent="0.2">
      <c r="A46" s="72" t="s">
        <v>361</v>
      </c>
      <c r="F46" s="26"/>
      <c r="G46" s="26"/>
    </row>
    <row r="47" spans="1:9" s="26" customFormat="1" x14ac:dyDescent="0.2">
      <c r="A47" s="72" t="s">
        <v>362</v>
      </c>
      <c r="B47"/>
      <c r="C47"/>
      <c r="I47"/>
    </row>
    <row r="48" spans="1:9" s="26" customFormat="1" x14ac:dyDescent="0.2">
      <c r="A48" s="72" t="s">
        <v>363</v>
      </c>
      <c r="B48"/>
      <c r="C48"/>
      <c r="F48"/>
      <c r="I48"/>
    </row>
    <row r="49" spans="1:7" x14ac:dyDescent="0.2">
      <c r="A49" s="72" t="s">
        <v>364</v>
      </c>
      <c r="B49" s="44"/>
      <c r="G49" s="26"/>
    </row>
    <row r="50" spans="1:7" x14ac:dyDescent="0.2">
      <c r="A50" s="25" t="s">
        <v>365</v>
      </c>
      <c r="B50" s="44"/>
      <c r="F50" s="26"/>
    </row>
    <row r="51" spans="1:7" x14ac:dyDescent="0.2">
      <c r="A51" s="73" t="s">
        <v>366</v>
      </c>
      <c r="B51" s="44"/>
      <c r="F51" s="26"/>
    </row>
    <row r="52" spans="1:7" x14ac:dyDescent="0.2">
      <c r="A52" s="25" t="s">
        <v>367</v>
      </c>
      <c r="B52" s="44"/>
    </row>
    <row r="53" spans="1:7" x14ac:dyDescent="0.2">
      <c r="A53" s="25" t="s">
        <v>368</v>
      </c>
      <c r="B53" s="44"/>
    </row>
    <row r="54" spans="1:7" x14ac:dyDescent="0.2">
      <c r="A54" s="25" t="s">
        <v>369</v>
      </c>
      <c r="B54" s="26"/>
    </row>
    <row r="55" spans="1:7" x14ac:dyDescent="0.2">
      <c r="A55" s="25" t="s">
        <v>370</v>
      </c>
      <c r="B55" s="26"/>
    </row>
    <row r="56" spans="1:7" x14ac:dyDescent="0.2">
      <c r="A56" s="25" t="s">
        <v>371</v>
      </c>
      <c r="B56" s="26"/>
    </row>
    <row r="57" spans="1:7" x14ac:dyDescent="0.2">
      <c r="A57" s="26"/>
      <c r="B57" s="26"/>
    </row>
    <row r="58" spans="1:7" x14ac:dyDescent="0.2">
      <c r="A58" s="26"/>
      <c r="B58" s="26"/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K56"/>
  <sheetViews>
    <sheetView topLeftCell="A4" workbookViewId="0">
      <selection activeCell="A29" sqref="A29:C29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7.8320312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380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2293.6</v>
      </c>
      <c r="C3" s="51">
        <v>2293.61</v>
      </c>
      <c r="H3" s="26"/>
    </row>
    <row r="4" spans="1:11" x14ac:dyDescent="0.2">
      <c r="A4" s="26" t="s">
        <v>265</v>
      </c>
      <c r="B4">
        <v>1188.71</v>
      </c>
      <c r="C4">
        <v>1188.71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25"/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3482.31</v>
      </c>
      <c r="G8" s="27">
        <f>C9+C10+C11+C12+C13+C14+C15+C16</f>
        <v>2041.7099999999998</v>
      </c>
      <c r="H8" s="25">
        <f>F8-G8</f>
        <v>1440.6000000000001</v>
      </c>
    </row>
    <row r="9" spans="1:11" s="24" customFormat="1" x14ac:dyDescent="0.2">
      <c r="A9" s="20" t="s">
        <v>293</v>
      </c>
      <c r="B9" s="20"/>
      <c r="C9" s="20">
        <v>1215.17</v>
      </c>
      <c r="D9" s="26"/>
      <c r="F9" s="31"/>
      <c r="G9" s="31"/>
      <c r="H9" s="67"/>
      <c r="I9" s="26"/>
    </row>
    <row r="10" spans="1:11" s="24" customFormat="1" x14ac:dyDescent="0.2">
      <c r="A10" s="20" t="s">
        <v>351</v>
      </c>
      <c r="B10" s="20"/>
      <c r="C10" s="21">
        <v>209.6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320</v>
      </c>
      <c r="B11" s="20"/>
      <c r="C11" s="21">
        <v>128.05000000000001</v>
      </c>
      <c r="D11" s="26"/>
      <c r="F11" s="33">
        <f>B3+B4</f>
        <v>3482.31</v>
      </c>
      <c r="G11" s="27">
        <f>C19+C20+C21+C22+C23+C24+C25+C26+C27+C28+C29+C30+C31+C32+C33</f>
        <v>2532.7799999999997</v>
      </c>
      <c r="H11" s="25">
        <f>F11-G11</f>
        <v>949.5300000000002</v>
      </c>
      <c r="I11" s="26"/>
    </row>
    <row r="12" spans="1:11" s="24" customFormat="1" x14ac:dyDescent="0.2">
      <c r="A12" s="20" t="s">
        <v>321</v>
      </c>
      <c r="B12" s="20"/>
      <c r="C12" s="21">
        <v>167.29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350</v>
      </c>
      <c r="B13" s="20"/>
      <c r="C13" s="21">
        <v>209.6</v>
      </c>
      <c r="D13" s="26"/>
      <c r="F13" s="31"/>
      <c r="G13" s="31"/>
      <c r="H13" s="31"/>
    </row>
    <row r="14" spans="1:11" s="24" customFormat="1" x14ac:dyDescent="0.2">
      <c r="A14" s="20" t="s">
        <v>319</v>
      </c>
      <c r="B14" s="20"/>
      <c r="C14" s="21">
        <v>25</v>
      </c>
      <c r="D14" s="26"/>
      <c r="F14" s="31"/>
      <c r="G14" s="31"/>
      <c r="H14" s="31"/>
      <c r="I14" s="26"/>
    </row>
    <row r="15" spans="1:11" s="24" customFormat="1" x14ac:dyDescent="0.2">
      <c r="A15" s="20" t="s">
        <v>373</v>
      </c>
      <c r="B15" s="20"/>
      <c r="C15" s="21">
        <v>30</v>
      </c>
      <c r="D15" s="26"/>
      <c r="F15" s="31"/>
      <c r="G15" s="31"/>
      <c r="H15" s="31"/>
      <c r="I15" s="26"/>
    </row>
    <row r="16" spans="1:11" s="24" customFormat="1" x14ac:dyDescent="0.2">
      <c r="A16" s="20" t="s">
        <v>354</v>
      </c>
      <c r="B16" s="20"/>
      <c r="C16" s="21">
        <v>57</v>
      </c>
      <c r="D16" s="26"/>
      <c r="F16" s="31"/>
      <c r="G16" s="31"/>
      <c r="H16" s="31"/>
      <c r="I16" s="26"/>
    </row>
    <row r="17" spans="1:9" s="24" customFormat="1" x14ac:dyDescent="0.2">
      <c r="A17" s="29"/>
      <c r="B17" s="29"/>
      <c r="C17" s="30"/>
      <c r="D17" s="26"/>
      <c r="F17" s="31"/>
      <c r="G17" s="31"/>
      <c r="H17" s="31"/>
      <c r="I17" s="26"/>
    </row>
    <row r="18" spans="1:9" s="24" customFormat="1" x14ac:dyDescent="0.2">
      <c r="A18" s="32" t="s">
        <v>13</v>
      </c>
      <c r="B18" s="25"/>
      <c r="C18" s="27"/>
      <c r="D18" s="26"/>
      <c r="F18" s="31"/>
      <c r="G18" s="31"/>
      <c r="H18" s="31"/>
      <c r="I18" s="26"/>
    </row>
    <row r="19" spans="1:9" s="24" customFormat="1" x14ac:dyDescent="0.2">
      <c r="A19" s="20" t="s">
        <v>300</v>
      </c>
      <c r="B19" s="20"/>
      <c r="C19" s="20">
        <v>336</v>
      </c>
      <c r="D19" s="26"/>
      <c r="F19" s="31"/>
      <c r="G19" s="31"/>
      <c r="H19" s="31"/>
      <c r="I19" s="26"/>
    </row>
    <row r="20" spans="1:9" s="24" customFormat="1" x14ac:dyDescent="0.2">
      <c r="A20" s="20" t="s">
        <v>316</v>
      </c>
      <c r="B20" s="20"/>
      <c r="C20" s="21">
        <v>525</v>
      </c>
      <c r="D20" s="26"/>
      <c r="F20" s="31"/>
      <c r="G20" s="31"/>
      <c r="H20" s="31"/>
      <c r="I20" s="26"/>
    </row>
    <row r="21" spans="1:9" s="24" customFormat="1" x14ac:dyDescent="0.2">
      <c r="A21" s="20" t="s">
        <v>378</v>
      </c>
      <c r="B21" s="20"/>
      <c r="C21" s="21">
        <v>216.5</v>
      </c>
      <c r="D21" s="26"/>
      <c r="F21" s="31"/>
      <c r="G21" s="31"/>
      <c r="H21" s="31"/>
      <c r="I21" s="26"/>
    </row>
    <row r="22" spans="1:9" s="24" customFormat="1" x14ac:dyDescent="0.2">
      <c r="A22" s="20" t="s">
        <v>379</v>
      </c>
      <c r="B22" s="20"/>
      <c r="C22" s="20">
        <v>83.47</v>
      </c>
      <c r="D22" s="26"/>
      <c r="F22" s="31"/>
      <c r="G22" s="31"/>
      <c r="H22" s="31"/>
      <c r="I22" s="26"/>
    </row>
    <row r="23" spans="1:9" s="24" customFormat="1" x14ac:dyDescent="0.2">
      <c r="A23" s="20" t="s">
        <v>348</v>
      </c>
      <c r="B23" s="20"/>
      <c r="C23" s="21">
        <v>209.6</v>
      </c>
      <c r="D23" s="26"/>
      <c r="F23" s="26"/>
      <c r="G23" s="26"/>
      <c r="H23" s="26"/>
      <c r="I23" s="26"/>
    </row>
    <row r="24" spans="1:9" s="24" customFormat="1" x14ac:dyDescent="0.2">
      <c r="A24" s="20" t="s">
        <v>76</v>
      </c>
      <c r="B24" s="20"/>
      <c r="C24" s="21">
        <v>14.99</v>
      </c>
      <c r="D24" s="26"/>
      <c r="F24" s="68" t="s">
        <v>330</v>
      </c>
      <c r="G24" s="26"/>
      <c r="H24" s="68" t="s">
        <v>381</v>
      </c>
      <c r="I24" s="26"/>
    </row>
    <row r="25" spans="1:9" s="26" customFormat="1" x14ac:dyDescent="0.2">
      <c r="A25" s="20" t="s">
        <v>311</v>
      </c>
      <c r="B25" s="20"/>
      <c r="C25" s="21">
        <v>74.900000000000006</v>
      </c>
      <c r="F25" s="25">
        <f>(H8+H11)/2</f>
        <v>1195.0650000000001</v>
      </c>
      <c r="H25" s="25">
        <f>F25-800</f>
        <v>395.06500000000005</v>
      </c>
    </row>
    <row r="26" spans="1:9" s="26" customFormat="1" x14ac:dyDescent="0.2">
      <c r="A26" s="20" t="s">
        <v>79</v>
      </c>
      <c r="B26" s="20"/>
      <c r="C26" s="21">
        <v>142</v>
      </c>
    </row>
    <row r="27" spans="1:9" s="24" customFormat="1" x14ac:dyDescent="0.2">
      <c r="A27" s="20" t="s">
        <v>349</v>
      </c>
      <c r="B27" s="20"/>
      <c r="C27" s="21">
        <v>209.6</v>
      </c>
      <c r="D27" s="26"/>
      <c r="H27" s="71"/>
    </row>
    <row r="28" spans="1:9" s="24" customFormat="1" x14ac:dyDescent="0.2">
      <c r="A28" s="20" t="s">
        <v>75</v>
      </c>
      <c r="B28" s="20"/>
      <c r="C28" s="21">
        <v>256.22000000000003</v>
      </c>
      <c r="D28" s="26"/>
    </row>
    <row r="29" spans="1:9" s="26" customFormat="1" x14ac:dyDescent="0.2">
      <c r="A29" s="20" t="s">
        <v>78</v>
      </c>
      <c r="B29" s="20"/>
      <c r="C29" s="21">
        <v>71.77</v>
      </c>
    </row>
    <row r="30" spans="1:9" s="26" customFormat="1" x14ac:dyDescent="0.2">
      <c r="A30" s="20" t="s">
        <v>267</v>
      </c>
      <c r="B30" s="20"/>
      <c r="C30" s="55">
        <v>28.13</v>
      </c>
    </row>
    <row r="31" spans="1:9" s="26" customFormat="1" x14ac:dyDescent="0.2">
      <c r="A31" s="20" t="s">
        <v>301</v>
      </c>
      <c r="B31" s="20"/>
      <c r="C31" s="55">
        <v>133.47</v>
      </c>
    </row>
    <row r="32" spans="1:9" s="26" customFormat="1" x14ac:dyDescent="0.2">
      <c r="A32" s="20" t="s">
        <v>266</v>
      </c>
      <c r="B32" s="20"/>
      <c r="C32" s="21">
        <v>55.9</v>
      </c>
      <c r="I32" s="24"/>
    </row>
    <row r="33" spans="1:9" s="26" customFormat="1" x14ac:dyDescent="0.2">
      <c r="A33" s="20" t="s">
        <v>302</v>
      </c>
      <c r="B33" s="20"/>
      <c r="C33" s="55">
        <v>175.23</v>
      </c>
      <c r="H33" s="24"/>
      <c r="I33" s="24"/>
    </row>
    <row r="34" spans="1:9" s="24" customFormat="1" x14ac:dyDescent="0.2">
      <c r="A34" s="14"/>
      <c r="B34" s="14"/>
      <c r="C34" s="14"/>
      <c r="D34" s="26"/>
      <c r="F34" s="26"/>
      <c r="G34" s="26"/>
    </row>
    <row r="35" spans="1:9" s="26" customFormat="1" x14ac:dyDescent="0.2">
      <c r="A35"/>
      <c r="B35"/>
      <c r="C35"/>
    </row>
    <row r="36" spans="1:9" s="26" customFormat="1" x14ac:dyDescent="0.2">
      <c r="C36"/>
    </row>
    <row r="37" spans="1:9" s="26" customFormat="1" x14ac:dyDescent="0.2">
      <c r="A37"/>
      <c r="B37"/>
    </row>
    <row r="38" spans="1:9" s="24" customFormat="1" x14ac:dyDescent="0.2">
      <c r="A38" s="74" t="s">
        <v>375</v>
      </c>
      <c r="B38"/>
      <c r="C38" s="26"/>
      <c r="D38" s="26"/>
      <c r="F38" s="26"/>
      <c r="G38" s="26"/>
      <c r="I38"/>
    </row>
    <row r="39" spans="1:9" s="24" customFormat="1" x14ac:dyDescent="0.2">
      <c r="A39" s="4" t="s">
        <v>356</v>
      </c>
      <c r="B39"/>
      <c r="C39" s="26"/>
      <c r="D39" s="26"/>
      <c r="F39" s="26"/>
      <c r="I39"/>
    </row>
    <row r="40" spans="1:9" s="24" customFormat="1" x14ac:dyDescent="0.2">
      <c r="A40" s="4" t="s">
        <v>357</v>
      </c>
      <c r="B40"/>
      <c r="C40" s="26"/>
      <c r="D40" s="26"/>
      <c r="F40" s="26"/>
      <c r="G40" s="26"/>
      <c r="I40" s="26"/>
    </row>
    <row r="41" spans="1:9" s="26" customFormat="1" x14ac:dyDescent="0.2">
      <c r="A41" s="4" t="s">
        <v>358</v>
      </c>
      <c r="B41"/>
      <c r="C41"/>
    </row>
    <row r="42" spans="1:9" s="26" customFormat="1" x14ac:dyDescent="0.2">
      <c r="A42" s="4" t="s">
        <v>359</v>
      </c>
      <c r="B42"/>
      <c r="C42"/>
      <c r="I42"/>
    </row>
    <row r="43" spans="1:9" x14ac:dyDescent="0.2">
      <c r="A43" s="72" t="s">
        <v>360</v>
      </c>
      <c r="F43" s="26"/>
      <c r="G43" s="26"/>
    </row>
    <row r="44" spans="1:9" x14ac:dyDescent="0.2">
      <c r="A44" s="72" t="s">
        <v>361</v>
      </c>
      <c r="F44" s="26"/>
      <c r="G44" s="26"/>
    </row>
    <row r="45" spans="1:9" s="26" customFormat="1" x14ac:dyDescent="0.2">
      <c r="A45" s="72" t="s">
        <v>362</v>
      </c>
      <c r="B45"/>
      <c r="C45"/>
      <c r="I45"/>
    </row>
    <row r="46" spans="1:9" s="26" customFormat="1" x14ac:dyDescent="0.2">
      <c r="A46" s="72" t="s">
        <v>363</v>
      </c>
      <c r="B46"/>
      <c r="C46"/>
      <c r="F46"/>
      <c r="I46"/>
    </row>
    <row r="47" spans="1:9" x14ac:dyDescent="0.2">
      <c r="A47" s="72" t="s">
        <v>364</v>
      </c>
      <c r="B47" s="44"/>
      <c r="G47" s="26"/>
    </row>
    <row r="48" spans="1:9" x14ac:dyDescent="0.2">
      <c r="A48" s="25" t="s">
        <v>365</v>
      </c>
      <c r="B48" s="44"/>
      <c r="F48" s="26"/>
    </row>
    <row r="49" spans="1:6" x14ac:dyDescent="0.2">
      <c r="A49" s="73" t="s">
        <v>366</v>
      </c>
      <c r="B49" s="44"/>
      <c r="F49" s="26"/>
    </row>
    <row r="50" spans="1:6" x14ac:dyDescent="0.2">
      <c r="A50" s="25" t="s">
        <v>367</v>
      </c>
      <c r="B50" s="44"/>
    </row>
    <row r="51" spans="1:6" x14ac:dyDescent="0.2">
      <c r="A51" s="25" t="s">
        <v>368</v>
      </c>
      <c r="B51" s="44"/>
    </row>
    <row r="52" spans="1:6" x14ac:dyDescent="0.2">
      <c r="A52" s="25" t="s">
        <v>369</v>
      </c>
      <c r="B52" s="26"/>
    </row>
    <row r="53" spans="1:6" x14ac:dyDescent="0.2">
      <c r="A53" s="25" t="s">
        <v>370</v>
      </c>
      <c r="B53" s="26"/>
    </row>
    <row r="54" spans="1:6" x14ac:dyDescent="0.2">
      <c r="A54" s="25" t="s">
        <v>371</v>
      </c>
      <c r="B54" s="26"/>
    </row>
    <row r="55" spans="1:6" x14ac:dyDescent="0.2">
      <c r="A55" s="26"/>
      <c r="B55" s="26"/>
    </row>
    <row r="56" spans="1:6" x14ac:dyDescent="0.2">
      <c r="A56" s="26"/>
      <c r="B56" s="26"/>
    </row>
  </sheetData>
  <pageMargins left="0.7" right="0.7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K57"/>
  <sheetViews>
    <sheetView workbookViewId="0">
      <selection activeCell="A30" sqref="A30:C30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5.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377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2015.95</v>
      </c>
      <c r="C3" s="51">
        <v>2015.95</v>
      </c>
      <c r="H3" s="26"/>
    </row>
    <row r="4" spans="1:11" x14ac:dyDescent="0.2">
      <c r="A4" s="26" t="s">
        <v>265</v>
      </c>
      <c r="B4">
        <v>1136.3900000000001</v>
      </c>
      <c r="C4">
        <v>1136.3900000000001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25"/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3152.34</v>
      </c>
      <c r="G8" s="27">
        <f>C9+C10+C11+C12+C13+C14+C15+C16</f>
        <v>2037.6499999999996</v>
      </c>
      <c r="H8" s="25">
        <f>F8-G8</f>
        <v>1114.6900000000005</v>
      </c>
    </row>
    <row r="9" spans="1:11" s="24" customFormat="1" x14ac:dyDescent="0.2">
      <c r="A9" s="20" t="s">
        <v>293</v>
      </c>
      <c r="B9" s="20"/>
      <c r="C9" s="20">
        <v>1211.1099999999999</v>
      </c>
      <c r="D9" s="26"/>
      <c r="F9" s="31"/>
      <c r="G9" s="31"/>
      <c r="H9" s="67"/>
      <c r="I9" s="26"/>
    </row>
    <row r="10" spans="1:11" s="24" customFormat="1" x14ac:dyDescent="0.2">
      <c r="A10" s="20" t="s">
        <v>351</v>
      </c>
      <c r="B10" s="20"/>
      <c r="C10" s="21">
        <v>209.6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5" t="s">
        <v>320</v>
      </c>
      <c r="B11" s="25"/>
      <c r="C11" s="27">
        <v>128.05000000000001</v>
      </c>
      <c r="D11" s="26"/>
      <c r="F11" s="33">
        <f>B3+B4</f>
        <v>3152.34</v>
      </c>
      <c r="G11" s="27">
        <f>C19+C20+C21+C22+C23+C24+C25+C26+C27+C28+C29+C30+C31+C32+C33+C34</f>
        <v>2607.6200000000003</v>
      </c>
      <c r="H11" s="25">
        <f>F11-G11</f>
        <v>544.7199999999998</v>
      </c>
      <c r="I11" s="26"/>
    </row>
    <row r="12" spans="1:11" s="24" customFormat="1" x14ac:dyDescent="0.2">
      <c r="A12" s="25" t="s">
        <v>321</v>
      </c>
      <c r="B12" s="25"/>
      <c r="C12" s="27">
        <v>167.29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350</v>
      </c>
      <c r="B13" s="20"/>
      <c r="C13" s="21">
        <v>209.6</v>
      </c>
      <c r="D13" s="26"/>
      <c r="F13" s="31"/>
      <c r="G13" s="31"/>
      <c r="H13" s="31"/>
    </row>
    <row r="14" spans="1:11" s="24" customFormat="1" x14ac:dyDescent="0.2">
      <c r="A14" s="20" t="s">
        <v>319</v>
      </c>
      <c r="B14" s="20"/>
      <c r="C14" s="21">
        <v>25</v>
      </c>
      <c r="D14" s="26"/>
      <c r="F14" s="31"/>
      <c r="G14" s="31"/>
      <c r="H14" s="31"/>
      <c r="I14" s="26"/>
    </row>
    <row r="15" spans="1:11" s="24" customFormat="1" x14ac:dyDescent="0.2">
      <c r="A15" s="20" t="s">
        <v>373</v>
      </c>
      <c r="B15" s="20"/>
      <c r="C15" s="21">
        <v>30</v>
      </c>
      <c r="D15" s="26"/>
      <c r="F15" s="31"/>
      <c r="G15" s="31"/>
      <c r="H15" s="31"/>
      <c r="I15" s="26"/>
    </row>
    <row r="16" spans="1:11" s="24" customFormat="1" x14ac:dyDescent="0.2">
      <c r="A16" s="20" t="s">
        <v>354</v>
      </c>
      <c r="B16" s="20"/>
      <c r="C16" s="21">
        <v>57</v>
      </c>
      <c r="D16" s="26"/>
      <c r="F16" s="31"/>
      <c r="G16" s="31"/>
      <c r="H16" s="31"/>
      <c r="I16" s="26"/>
    </row>
    <row r="17" spans="1:9" s="24" customFormat="1" x14ac:dyDescent="0.2">
      <c r="A17" s="29"/>
      <c r="B17" s="29"/>
      <c r="C17" s="30"/>
      <c r="D17" s="26"/>
      <c r="F17" s="31"/>
      <c r="G17" s="31"/>
      <c r="H17" s="31"/>
      <c r="I17" s="26"/>
    </row>
    <row r="18" spans="1:9" s="24" customFormat="1" x14ac:dyDescent="0.2">
      <c r="A18" s="32" t="s">
        <v>13</v>
      </c>
      <c r="B18" s="25"/>
      <c r="C18" s="27"/>
      <c r="D18" s="26"/>
      <c r="F18" s="31"/>
      <c r="G18" s="31"/>
      <c r="H18" s="31"/>
      <c r="I18" s="26"/>
    </row>
    <row r="19" spans="1:9" s="24" customFormat="1" x14ac:dyDescent="0.2">
      <c r="A19" s="20" t="s">
        <v>300</v>
      </c>
      <c r="B19" s="20"/>
      <c r="C19" s="20">
        <v>331.89</v>
      </c>
      <c r="D19" s="26"/>
      <c r="F19" s="31"/>
      <c r="G19" s="31"/>
      <c r="H19" s="31"/>
      <c r="I19" s="26"/>
    </row>
    <row r="20" spans="1:9" s="24" customFormat="1" x14ac:dyDescent="0.2">
      <c r="A20" s="20" t="s">
        <v>379</v>
      </c>
      <c r="B20" s="20"/>
      <c r="C20" s="20">
        <v>83.47</v>
      </c>
      <c r="D20" s="26"/>
      <c r="F20" s="31"/>
      <c r="G20" s="31"/>
      <c r="H20" s="31"/>
      <c r="I20" s="26"/>
    </row>
    <row r="21" spans="1:9" s="24" customFormat="1" x14ac:dyDescent="0.2">
      <c r="A21" s="20" t="s">
        <v>316</v>
      </c>
      <c r="B21" s="20"/>
      <c r="C21" s="21">
        <v>525</v>
      </c>
      <c r="D21" s="26"/>
      <c r="F21" s="31"/>
      <c r="G21" s="31"/>
      <c r="H21" s="31"/>
      <c r="I21" s="26"/>
    </row>
    <row r="22" spans="1:9" s="24" customFormat="1" x14ac:dyDescent="0.2">
      <c r="A22" s="20" t="s">
        <v>348</v>
      </c>
      <c r="B22" s="20"/>
      <c r="C22" s="21">
        <v>209.6</v>
      </c>
      <c r="D22" s="26"/>
      <c r="F22" s="26"/>
      <c r="G22" s="26"/>
      <c r="H22" s="26"/>
      <c r="I22" s="26"/>
    </row>
    <row r="23" spans="1:9" s="24" customFormat="1" x14ac:dyDescent="0.2">
      <c r="A23" s="20" t="s">
        <v>76</v>
      </c>
      <c r="B23" s="20"/>
      <c r="C23" s="21">
        <v>14.99</v>
      </c>
      <c r="D23" s="26"/>
      <c r="F23" s="26"/>
      <c r="G23" s="26"/>
      <c r="H23" s="68" t="s">
        <v>330</v>
      </c>
      <c r="I23" s="26"/>
    </row>
    <row r="24" spans="1:9" s="26" customFormat="1" x14ac:dyDescent="0.2">
      <c r="A24" s="20" t="s">
        <v>311</v>
      </c>
      <c r="B24" s="20"/>
      <c r="C24" s="21">
        <v>74.900000000000006</v>
      </c>
      <c r="H24" s="25">
        <f>(H8+H11)/2</f>
        <v>829.70500000000015</v>
      </c>
    </row>
    <row r="25" spans="1:9" s="26" customFormat="1" x14ac:dyDescent="0.2">
      <c r="A25" s="20" t="s">
        <v>378</v>
      </c>
      <c r="B25" s="20"/>
      <c r="C25" s="21">
        <v>216.5</v>
      </c>
    </row>
    <row r="26" spans="1:9" s="24" customFormat="1" x14ac:dyDescent="0.2">
      <c r="A26" s="20" t="s">
        <v>79</v>
      </c>
      <c r="B26" s="20"/>
      <c r="C26" s="21">
        <v>142</v>
      </c>
      <c r="D26" s="26"/>
      <c r="H26" s="71"/>
    </row>
    <row r="27" spans="1:9" s="24" customFormat="1" x14ac:dyDescent="0.2">
      <c r="A27" s="20" t="s">
        <v>191</v>
      </c>
      <c r="B27" s="20"/>
      <c r="C27" s="21">
        <v>75</v>
      </c>
      <c r="D27" s="26"/>
      <c r="F27" s="24">
        <v>4479.2299999999996</v>
      </c>
      <c r="H27" s="26"/>
    </row>
    <row r="28" spans="1:9" s="26" customFormat="1" x14ac:dyDescent="0.2">
      <c r="A28" s="20" t="s">
        <v>349</v>
      </c>
      <c r="B28" s="20"/>
      <c r="C28" s="21">
        <v>209.6</v>
      </c>
    </row>
    <row r="29" spans="1:9" s="26" customFormat="1" x14ac:dyDescent="0.2">
      <c r="A29" s="20" t="s">
        <v>75</v>
      </c>
      <c r="B29" s="20"/>
      <c r="C29" s="21">
        <v>256.22000000000003</v>
      </c>
    </row>
    <row r="30" spans="1:9" s="26" customFormat="1" x14ac:dyDescent="0.2">
      <c r="A30" s="20" t="s">
        <v>78</v>
      </c>
      <c r="B30" s="20"/>
      <c r="C30" s="21">
        <v>71.77</v>
      </c>
    </row>
    <row r="31" spans="1:9" s="26" customFormat="1" x14ac:dyDescent="0.2">
      <c r="A31" s="20" t="s">
        <v>267</v>
      </c>
      <c r="B31" s="20"/>
      <c r="C31" s="55">
        <v>28.13</v>
      </c>
      <c r="I31" s="24"/>
    </row>
    <row r="32" spans="1:9" s="26" customFormat="1" x14ac:dyDescent="0.2">
      <c r="A32" s="20" t="s">
        <v>301</v>
      </c>
      <c r="B32" s="20"/>
      <c r="C32" s="55">
        <v>151.91999999999999</v>
      </c>
      <c r="H32" s="24"/>
      <c r="I32" s="24"/>
    </row>
    <row r="33" spans="1:9" s="24" customFormat="1" x14ac:dyDescent="0.2">
      <c r="A33" s="20" t="s">
        <v>266</v>
      </c>
      <c r="B33" s="20"/>
      <c r="C33" s="21">
        <v>55.9</v>
      </c>
      <c r="D33" s="26"/>
      <c r="F33" s="26"/>
      <c r="G33" s="26"/>
    </row>
    <row r="34" spans="1:9" s="26" customFormat="1" x14ac:dyDescent="0.2">
      <c r="A34" s="20" t="s">
        <v>302</v>
      </c>
      <c r="B34" s="20"/>
      <c r="C34" s="55">
        <v>160.72999999999999</v>
      </c>
    </row>
    <row r="35" spans="1:9" s="26" customFormat="1" x14ac:dyDescent="0.2">
      <c r="A35" s="14"/>
      <c r="B35" s="14"/>
      <c r="C35" s="14"/>
    </row>
    <row r="36" spans="1:9" s="24" customFormat="1" x14ac:dyDescent="0.2">
      <c r="A36"/>
      <c r="B36"/>
      <c r="C36"/>
      <c r="D36" s="26"/>
      <c r="F36" s="26"/>
      <c r="G36" s="26"/>
      <c r="I36"/>
    </row>
    <row r="37" spans="1:9" s="24" customFormat="1" x14ac:dyDescent="0.2">
      <c r="A37" s="26"/>
      <c r="B37" s="26"/>
      <c r="C37"/>
      <c r="D37" s="26"/>
      <c r="F37" s="26"/>
      <c r="I37"/>
    </row>
    <row r="38" spans="1:9" s="24" customFormat="1" x14ac:dyDescent="0.2">
      <c r="A38"/>
      <c r="B38"/>
      <c r="C38" s="26"/>
      <c r="D38" s="26"/>
      <c r="F38" s="26"/>
      <c r="G38" s="26"/>
      <c r="I38" s="26"/>
    </row>
    <row r="39" spans="1:9" s="26" customFormat="1" x14ac:dyDescent="0.2">
      <c r="A39" s="74" t="s">
        <v>375</v>
      </c>
      <c r="B39"/>
    </row>
    <row r="40" spans="1:9" s="26" customFormat="1" x14ac:dyDescent="0.2">
      <c r="A40" s="4" t="s">
        <v>356</v>
      </c>
      <c r="B40"/>
      <c r="I40"/>
    </row>
    <row r="41" spans="1:9" x14ac:dyDescent="0.2">
      <c r="A41" s="4" t="s">
        <v>357</v>
      </c>
      <c r="C41" s="26"/>
      <c r="F41" s="26"/>
      <c r="G41" s="26"/>
    </row>
    <row r="42" spans="1:9" x14ac:dyDescent="0.2">
      <c r="A42" s="4" t="s">
        <v>358</v>
      </c>
      <c r="F42" s="26"/>
      <c r="G42" s="26"/>
    </row>
    <row r="43" spans="1:9" s="26" customFormat="1" x14ac:dyDescent="0.2">
      <c r="A43" s="4" t="s">
        <v>359</v>
      </c>
      <c r="B43"/>
      <c r="C43"/>
      <c r="I43"/>
    </row>
    <row r="44" spans="1:9" s="26" customFormat="1" x14ac:dyDescent="0.2">
      <c r="A44" s="72" t="s">
        <v>360</v>
      </c>
      <c r="B44"/>
      <c r="C44"/>
      <c r="F44"/>
      <c r="I44"/>
    </row>
    <row r="45" spans="1:9" x14ac:dyDescent="0.2">
      <c r="A45" s="72" t="s">
        <v>361</v>
      </c>
      <c r="G45" s="26"/>
    </row>
    <row r="46" spans="1:9" x14ac:dyDescent="0.2">
      <c r="A46" s="72" t="s">
        <v>362</v>
      </c>
      <c r="F46" s="26"/>
    </row>
    <row r="47" spans="1:9" x14ac:dyDescent="0.2">
      <c r="A47" s="72" t="s">
        <v>363</v>
      </c>
      <c r="F47" s="26"/>
    </row>
    <row r="48" spans="1:9" x14ac:dyDescent="0.2">
      <c r="A48" s="72" t="s">
        <v>364</v>
      </c>
      <c r="B48" s="44"/>
    </row>
    <row r="49" spans="1:2" x14ac:dyDescent="0.2">
      <c r="A49" s="25" t="s">
        <v>365</v>
      </c>
      <c r="B49" s="44"/>
    </row>
    <row r="50" spans="1:2" x14ac:dyDescent="0.2">
      <c r="A50" s="73" t="s">
        <v>366</v>
      </c>
      <c r="B50" s="44"/>
    </row>
    <row r="51" spans="1:2" x14ac:dyDescent="0.2">
      <c r="A51" s="25" t="s">
        <v>367</v>
      </c>
      <c r="B51" s="44"/>
    </row>
    <row r="52" spans="1:2" x14ac:dyDescent="0.2">
      <c r="A52" s="25" t="s">
        <v>368</v>
      </c>
      <c r="B52" s="44"/>
    </row>
    <row r="53" spans="1:2" x14ac:dyDescent="0.2">
      <c r="A53" s="25" t="s">
        <v>369</v>
      </c>
      <c r="B53" s="26"/>
    </row>
    <row r="54" spans="1:2" x14ac:dyDescent="0.2">
      <c r="A54" s="25" t="s">
        <v>370</v>
      </c>
      <c r="B54" s="26"/>
    </row>
    <row r="55" spans="1:2" x14ac:dyDescent="0.2">
      <c r="A55" s="25" t="s">
        <v>371</v>
      </c>
      <c r="B55" s="26"/>
    </row>
    <row r="56" spans="1:2" x14ac:dyDescent="0.2">
      <c r="A56" s="26"/>
      <c r="B56" s="26"/>
    </row>
    <row r="57" spans="1:2" x14ac:dyDescent="0.2">
      <c r="A57" s="26"/>
      <c r="B57" s="26"/>
    </row>
  </sheetData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59"/>
  <sheetViews>
    <sheetView workbookViewId="0">
      <selection activeCell="D25" sqref="D25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5.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376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2080.39</v>
      </c>
      <c r="C3" s="51">
        <v>2080.39</v>
      </c>
      <c r="H3" s="26"/>
    </row>
    <row r="4" spans="1:11" x14ac:dyDescent="0.2">
      <c r="A4" s="26" t="s">
        <v>265</v>
      </c>
      <c r="B4">
        <v>1036.3900000000001</v>
      </c>
      <c r="C4">
        <v>1036.3900000000001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25"/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3116.7799999999997</v>
      </c>
      <c r="G8" s="27">
        <f>C9+C10+C11+C12+C13+C14+C15+C16+C17+C18+C19</f>
        <v>2305.3099999999995</v>
      </c>
      <c r="H8" s="25">
        <f>F8-G8</f>
        <v>811.47000000000025</v>
      </c>
    </row>
    <row r="9" spans="1:11" s="24" customFormat="1" x14ac:dyDescent="0.2">
      <c r="A9" s="20" t="s">
        <v>293</v>
      </c>
      <c r="B9" s="20"/>
      <c r="C9" s="20">
        <v>1211.1099999999999</v>
      </c>
      <c r="D9" s="26"/>
      <c r="F9" s="31"/>
      <c r="G9" s="31"/>
      <c r="H9" s="67"/>
      <c r="I9" s="26"/>
    </row>
    <row r="10" spans="1:11" s="24" customFormat="1" x14ac:dyDescent="0.2">
      <c r="A10" s="20" t="s">
        <v>60</v>
      </c>
      <c r="B10" s="20"/>
      <c r="C10" s="20">
        <v>120.64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351</v>
      </c>
      <c r="B11" s="20"/>
      <c r="C11" s="21">
        <v>209.6</v>
      </c>
      <c r="D11" s="26"/>
      <c r="F11" s="33">
        <f>B3+B4</f>
        <v>3116.7799999999997</v>
      </c>
      <c r="G11" s="27">
        <f>C22+C23+C24+C25+C26+C27+C28+C29+C30+C31+C32+C33+C34+C35+C36</f>
        <v>2545.5300000000007</v>
      </c>
      <c r="H11" s="25">
        <f>F11-G11</f>
        <v>571.24999999999909</v>
      </c>
      <c r="I11" s="26"/>
    </row>
    <row r="12" spans="1:11" s="24" customFormat="1" x14ac:dyDescent="0.2">
      <c r="A12" s="20" t="s">
        <v>320</v>
      </c>
      <c r="B12" s="20"/>
      <c r="C12" s="21">
        <v>152.83000000000001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321</v>
      </c>
      <c r="B13" s="20"/>
      <c r="C13" s="21">
        <v>214.58</v>
      </c>
      <c r="D13" s="26"/>
      <c r="F13" s="31"/>
      <c r="G13" s="31"/>
      <c r="H13" s="31"/>
    </row>
    <row r="14" spans="1:11" s="24" customFormat="1" x14ac:dyDescent="0.2">
      <c r="A14" s="20" t="s">
        <v>350</v>
      </c>
      <c r="B14" s="20"/>
      <c r="C14" s="21">
        <v>209.6</v>
      </c>
      <c r="D14" s="26"/>
      <c r="F14" s="31"/>
      <c r="G14" s="31"/>
      <c r="H14" s="31"/>
      <c r="I14" s="26"/>
    </row>
    <row r="15" spans="1:11" s="24" customFormat="1" x14ac:dyDescent="0.2">
      <c r="A15" s="20" t="s">
        <v>311</v>
      </c>
      <c r="B15" s="20"/>
      <c r="C15" s="21">
        <v>37.450000000000003</v>
      </c>
      <c r="D15" s="26"/>
      <c r="F15" s="31"/>
      <c r="G15" s="31"/>
      <c r="H15" s="31"/>
      <c r="I15" s="26"/>
    </row>
    <row r="16" spans="1:11" s="24" customFormat="1" x14ac:dyDescent="0.2">
      <c r="A16" s="20" t="s">
        <v>191</v>
      </c>
      <c r="B16" s="20"/>
      <c r="C16" s="21">
        <v>37.5</v>
      </c>
      <c r="D16" s="26"/>
      <c r="F16" s="31"/>
      <c r="G16" s="31"/>
      <c r="H16" s="31"/>
      <c r="I16" s="26"/>
    </row>
    <row r="17" spans="1:9" s="24" customFormat="1" x14ac:dyDescent="0.2">
      <c r="A17" s="20" t="s">
        <v>319</v>
      </c>
      <c r="B17" s="20"/>
      <c r="C17" s="21">
        <v>25</v>
      </c>
      <c r="D17" s="26"/>
      <c r="F17" s="31"/>
      <c r="G17" s="31"/>
      <c r="H17" s="31"/>
      <c r="I17" s="26"/>
    </row>
    <row r="18" spans="1:9" s="24" customFormat="1" x14ac:dyDescent="0.2">
      <c r="A18" s="20" t="s">
        <v>373</v>
      </c>
      <c r="B18" s="20"/>
      <c r="C18" s="21">
        <v>30</v>
      </c>
      <c r="D18" s="26"/>
      <c r="F18" s="31"/>
      <c r="G18" s="31"/>
      <c r="H18" s="31"/>
      <c r="I18" s="26"/>
    </row>
    <row r="19" spans="1:9" s="24" customFormat="1" x14ac:dyDescent="0.2">
      <c r="A19" s="20" t="s">
        <v>354</v>
      </c>
      <c r="B19" s="20"/>
      <c r="C19" s="21">
        <v>57</v>
      </c>
      <c r="D19" s="26"/>
      <c r="F19" s="31"/>
      <c r="G19" s="31"/>
      <c r="H19" s="31"/>
      <c r="I19" s="26"/>
    </row>
    <row r="20" spans="1:9" s="24" customFormat="1" x14ac:dyDescent="0.2">
      <c r="A20" s="29"/>
      <c r="B20" s="29"/>
      <c r="C20" s="30"/>
      <c r="D20" s="26"/>
      <c r="F20" s="31"/>
      <c r="G20" s="31"/>
      <c r="H20" s="31"/>
      <c r="I20" s="26"/>
    </row>
    <row r="21" spans="1:9" s="24" customFormat="1" x14ac:dyDescent="0.2">
      <c r="A21" s="32" t="s">
        <v>13</v>
      </c>
      <c r="B21" s="25"/>
      <c r="C21" s="27"/>
      <c r="D21" s="26"/>
      <c r="F21" s="26"/>
      <c r="G21" s="26"/>
      <c r="H21" s="26"/>
      <c r="I21" s="26"/>
    </row>
    <row r="22" spans="1:9" s="24" customFormat="1" x14ac:dyDescent="0.2">
      <c r="A22" s="20" t="s">
        <v>300</v>
      </c>
      <c r="B22" s="20"/>
      <c r="C22" s="20">
        <v>331.89</v>
      </c>
      <c r="D22" s="26"/>
      <c r="F22" s="26"/>
      <c r="G22" s="26"/>
      <c r="H22" s="68" t="s">
        <v>330</v>
      </c>
      <c r="I22" s="26"/>
    </row>
    <row r="23" spans="1:9" s="26" customFormat="1" x14ac:dyDescent="0.2">
      <c r="A23" s="20" t="s">
        <v>316</v>
      </c>
      <c r="B23" s="20"/>
      <c r="C23" s="21">
        <v>525</v>
      </c>
      <c r="H23" s="25">
        <f>(H8+H11)/2</f>
        <v>691.35999999999967</v>
      </c>
    </row>
    <row r="24" spans="1:9" s="26" customFormat="1" x14ac:dyDescent="0.2">
      <c r="A24" s="20" t="s">
        <v>348</v>
      </c>
      <c r="B24" s="20"/>
      <c r="C24" s="21">
        <v>209.6</v>
      </c>
    </row>
    <row r="25" spans="1:9" s="26" customFormat="1" x14ac:dyDescent="0.2">
      <c r="A25" s="25" t="s">
        <v>315</v>
      </c>
      <c r="B25" s="25"/>
      <c r="C25" s="27">
        <v>311.55</v>
      </c>
    </row>
    <row r="26" spans="1:9" s="24" customFormat="1" x14ac:dyDescent="0.2">
      <c r="A26" s="20" t="s">
        <v>76</v>
      </c>
      <c r="B26" s="20"/>
      <c r="C26" s="21">
        <v>14.99</v>
      </c>
      <c r="D26" s="26"/>
      <c r="H26" s="71"/>
    </row>
    <row r="27" spans="1:9" s="24" customFormat="1" x14ac:dyDescent="0.2">
      <c r="A27" s="20" t="s">
        <v>311</v>
      </c>
      <c r="B27" s="20"/>
      <c r="C27" s="21">
        <v>37.450000000000003</v>
      </c>
      <c r="D27" s="26"/>
      <c r="H27" s="26"/>
    </row>
    <row r="28" spans="1:9" s="26" customFormat="1" x14ac:dyDescent="0.2">
      <c r="A28" s="20" t="s">
        <v>79</v>
      </c>
      <c r="B28" s="20"/>
      <c r="C28" s="21">
        <v>142</v>
      </c>
    </row>
    <row r="29" spans="1:9" s="26" customFormat="1" x14ac:dyDescent="0.2">
      <c r="A29" s="20" t="s">
        <v>191</v>
      </c>
      <c r="B29" s="20"/>
      <c r="C29" s="21">
        <v>37.5</v>
      </c>
      <c r="F29" s="26">
        <v>630</v>
      </c>
    </row>
    <row r="30" spans="1:9" s="26" customFormat="1" x14ac:dyDescent="0.2">
      <c r="A30" s="20" t="s">
        <v>349</v>
      </c>
      <c r="B30" s="20"/>
      <c r="C30" s="21">
        <v>209.6</v>
      </c>
    </row>
    <row r="31" spans="1:9" s="26" customFormat="1" x14ac:dyDescent="0.2">
      <c r="A31" s="20" t="s">
        <v>75</v>
      </c>
      <c r="B31" s="20"/>
      <c r="C31" s="21">
        <v>256.22000000000003</v>
      </c>
      <c r="I31" s="24"/>
    </row>
    <row r="32" spans="1:9" s="26" customFormat="1" x14ac:dyDescent="0.2">
      <c r="A32" s="20" t="s">
        <v>78</v>
      </c>
      <c r="B32" s="20"/>
      <c r="C32" s="21">
        <v>71.77</v>
      </c>
      <c r="H32" s="24"/>
      <c r="I32" s="24"/>
    </row>
    <row r="33" spans="1:9" s="24" customFormat="1" x14ac:dyDescent="0.2">
      <c r="A33" s="20" t="s">
        <v>267</v>
      </c>
      <c r="B33" s="20"/>
      <c r="C33" s="55">
        <v>28.13</v>
      </c>
      <c r="D33" s="26"/>
      <c r="F33" s="26"/>
      <c r="G33" s="26"/>
    </row>
    <row r="34" spans="1:9" s="26" customFormat="1" x14ac:dyDescent="0.2">
      <c r="A34" s="20" t="s">
        <v>301</v>
      </c>
      <c r="B34" s="20"/>
      <c r="C34" s="55">
        <v>158.30000000000001</v>
      </c>
    </row>
    <row r="35" spans="1:9" s="26" customFormat="1" x14ac:dyDescent="0.2">
      <c r="A35" s="20" t="s">
        <v>266</v>
      </c>
      <c r="B35" s="20"/>
      <c r="C35" s="21">
        <v>55.9</v>
      </c>
    </row>
    <row r="36" spans="1:9" s="24" customFormat="1" x14ac:dyDescent="0.2">
      <c r="A36" s="20" t="s">
        <v>302</v>
      </c>
      <c r="B36" s="20"/>
      <c r="C36" s="55">
        <v>155.63</v>
      </c>
      <c r="D36" s="26"/>
      <c r="F36" s="26"/>
      <c r="G36" s="26"/>
      <c r="I36"/>
    </row>
    <row r="37" spans="1:9" s="24" customFormat="1" x14ac:dyDescent="0.2">
      <c r="A37" s="14"/>
      <c r="B37" s="14"/>
      <c r="C37" s="14"/>
      <c r="D37" s="26"/>
      <c r="F37" s="26"/>
      <c r="I37"/>
    </row>
    <row r="38" spans="1:9" s="24" customFormat="1" x14ac:dyDescent="0.2">
      <c r="A38"/>
      <c r="B38"/>
      <c r="C38"/>
      <c r="D38" s="26"/>
      <c r="F38" s="26"/>
      <c r="G38" s="26"/>
      <c r="I38" s="26"/>
    </row>
    <row r="39" spans="1:9" s="26" customFormat="1" x14ac:dyDescent="0.2">
      <c r="C39"/>
    </row>
    <row r="40" spans="1:9" s="26" customFormat="1" x14ac:dyDescent="0.2">
      <c r="A40"/>
      <c r="B40"/>
      <c r="I40"/>
    </row>
    <row r="41" spans="1:9" x14ac:dyDescent="0.2">
      <c r="A41" s="74" t="s">
        <v>375</v>
      </c>
      <c r="C41" s="26"/>
      <c r="F41" s="26"/>
      <c r="G41" s="26"/>
    </row>
    <row r="42" spans="1:9" x14ac:dyDescent="0.2">
      <c r="A42" s="4" t="s">
        <v>356</v>
      </c>
      <c r="C42" s="26"/>
      <c r="F42" s="26"/>
      <c r="G42" s="26"/>
    </row>
    <row r="43" spans="1:9" s="26" customFormat="1" x14ac:dyDescent="0.2">
      <c r="A43" s="4" t="s">
        <v>357</v>
      </c>
      <c r="B43"/>
      <c r="I43"/>
    </row>
    <row r="44" spans="1:9" s="26" customFormat="1" x14ac:dyDescent="0.2">
      <c r="A44" s="4" t="s">
        <v>358</v>
      </c>
      <c r="B44"/>
      <c r="C44"/>
      <c r="F44"/>
      <c r="I44"/>
    </row>
    <row r="45" spans="1:9" x14ac:dyDescent="0.2">
      <c r="A45" s="4" t="s">
        <v>359</v>
      </c>
      <c r="G45" s="26"/>
    </row>
    <row r="46" spans="1:9" x14ac:dyDescent="0.2">
      <c r="A46" s="72" t="s">
        <v>360</v>
      </c>
      <c r="F46" s="26"/>
    </row>
    <row r="47" spans="1:9" x14ac:dyDescent="0.2">
      <c r="A47" s="72" t="s">
        <v>361</v>
      </c>
      <c r="F47" s="26"/>
    </row>
    <row r="48" spans="1:9" x14ac:dyDescent="0.2">
      <c r="A48" s="72" t="s">
        <v>362</v>
      </c>
    </row>
    <row r="49" spans="1:2" x14ac:dyDescent="0.2">
      <c r="A49" s="72" t="s">
        <v>363</v>
      </c>
    </row>
    <row r="50" spans="1:2" x14ac:dyDescent="0.2">
      <c r="A50" s="72" t="s">
        <v>364</v>
      </c>
      <c r="B50" s="44"/>
    </row>
    <row r="51" spans="1:2" x14ac:dyDescent="0.2">
      <c r="A51" s="25" t="s">
        <v>365</v>
      </c>
      <c r="B51" s="44"/>
    </row>
    <row r="52" spans="1:2" x14ac:dyDescent="0.2">
      <c r="A52" s="73" t="s">
        <v>366</v>
      </c>
      <c r="B52" s="44"/>
    </row>
    <row r="53" spans="1:2" x14ac:dyDescent="0.2">
      <c r="A53" s="25" t="s">
        <v>367</v>
      </c>
      <c r="B53" s="44"/>
    </row>
    <row r="54" spans="1:2" x14ac:dyDescent="0.2">
      <c r="A54" s="25" t="s">
        <v>368</v>
      </c>
      <c r="B54" s="44"/>
    </row>
    <row r="55" spans="1:2" x14ac:dyDescent="0.2">
      <c r="A55" s="25" t="s">
        <v>369</v>
      </c>
      <c r="B55" s="26"/>
    </row>
    <row r="56" spans="1:2" x14ac:dyDescent="0.2">
      <c r="A56" s="25" t="s">
        <v>370</v>
      </c>
      <c r="B56" s="26"/>
    </row>
    <row r="57" spans="1:2" x14ac:dyDescent="0.2">
      <c r="A57" s="25" t="s">
        <v>371</v>
      </c>
      <c r="B57" s="26"/>
    </row>
    <row r="58" spans="1:2" x14ac:dyDescent="0.2">
      <c r="A58" s="26"/>
      <c r="B58" s="26"/>
    </row>
    <row r="59" spans="1:2" x14ac:dyDescent="0.2">
      <c r="A59" s="26"/>
      <c r="B59" s="26"/>
    </row>
  </sheetData>
  <pageMargins left="0.7" right="0.7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K59"/>
  <sheetViews>
    <sheetView topLeftCell="A4" workbookViewId="0">
      <selection activeCell="A22" sqref="A22:C22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5.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374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2074.27</v>
      </c>
      <c r="C3" s="51">
        <v>2074.27</v>
      </c>
      <c r="H3" s="26"/>
    </row>
    <row r="4" spans="1:11" x14ac:dyDescent="0.2">
      <c r="A4" s="26" t="s">
        <v>265</v>
      </c>
      <c r="B4">
        <v>1026.6500000000001</v>
      </c>
      <c r="C4">
        <v>1026.6500000000001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25"/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3100.92</v>
      </c>
      <c r="G8" s="27">
        <f>C9+C10+C11+C12+C13+C14+C15+C16+C17+C18+C19</f>
        <v>2300.3099999999995</v>
      </c>
      <c r="H8" s="25">
        <f>F8-G8</f>
        <v>800.61000000000058</v>
      </c>
    </row>
    <row r="9" spans="1:11" s="24" customFormat="1" x14ac:dyDescent="0.2">
      <c r="A9" s="20" t="s">
        <v>293</v>
      </c>
      <c r="B9" s="20"/>
      <c r="C9" s="20">
        <v>1211.1099999999999</v>
      </c>
      <c r="D9" s="26"/>
      <c r="F9" s="31"/>
      <c r="G9" s="31"/>
      <c r="H9" s="67"/>
      <c r="I9" s="26"/>
    </row>
    <row r="10" spans="1:11" s="24" customFormat="1" x14ac:dyDescent="0.2">
      <c r="A10" s="20" t="s">
        <v>60</v>
      </c>
      <c r="B10" s="20"/>
      <c r="C10" s="20">
        <v>120.64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351</v>
      </c>
      <c r="B11" s="20"/>
      <c r="C11" s="21">
        <v>209.6</v>
      </c>
      <c r="D11" s="26"/>
      <c r="F11" s="33">
        <f>B3+B4</f>
        <v>3100.92</v>
      </c>
      <c r="G11" s="27">
        <f>C22+C23+C24+C25+C26+C27+C28+C29+C30+C31+C32+C33+C34+C35+C36</f>
        <v>2541.9100000000003</v>
      </c>
      <c r="H11" s="25">
        <f>F11-G11</f>
        <v>559.00999999999976</v>
      </c>
      <c r="I11" s="26"/>
    </row>
    <row r="12" spans="1:11" s="24" customFormat="1" x14ac:dyDescent="0.2">
      <c r="A12" s="20" t="s">
        <v>320</v>
      </c>
      <c r="B12" s="20"/>
      <c r="C12" s="21">
        <v>152.83000000000001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321</v>
      </c>
      <c r="B13" s="20"/>
      <c r="C13" s="21">
        <v>214.58</v>
      </c>
      <c r="D13" s="26"/>
      <c r="F13" s="31"/>
      <c r="G13" s="31"/>
      <c r="H13" s="31"/>
    </row>
    <row r="14" spans="1:11" s="24" customFormat="1" x14ac:dyDescent="0.2">
      <c r="A14" s="20" t="s">
        <v>350</v>
      </c>
      <c r="B14" s="20"/>
      <c r="C14" s="21">
        <v>209.6</v>
      </c>
      <c r="D14" s="26"/>
      <c r="F14" s="31"/>
      <c r="G14" s="31"/>
      <c r="H14" s="31"/>
      <c r="I14" s="26"/>
    </row>
    <row r="15" spans="1:11" s="24" customFormat="1" x14ac:dyDescent="0.2">
      <c r="A15" s="20" t="s">
        <v>311</v>
      </c>
      <c r="B15" s="20"/>
      <c r="C15" s="21">
        <v>37.450000000000003</v>
      </c>
      <c r="D15" s="26"/>
      <c r="F15" s="31"/>
      <c r="G15" s="31"/>
      <c r="H15" s="31"/>
      <c r="I15" s="26"/>
    </row>
    <row r="16" spans="1:11" s="24" customFormat="1" x14ac:dyDescent="0.2">
      <c r="A16" s="20" t="s">
        <v>191</v>
      </c>
      <c r="B16" s="20"/>
      <c r="C16" s="21">
        <v>37.5</v>
      </c>
      <c r="D16" s="26"/>
      <c r="F16" s="31"/>
      <c r="G16" s="31"/>
      <c r="H16" s="31"/>
      <c r="I16" s="26"/>
    </row>
    <row r="17" spans="1:9" s="24" customFormat="1" x14ac:dyDescent="0.2">
      <c r="A17" s="20" t="s">
        <v>319</v>
      </c>
      <c r="B17" s="20"/>
      <c r="C17" s="21">
        <v>25</v>
      </c>
      <c r="D17" s="26"/>
      <c r="F17" s="31"/>
      <c r="G17" s="31"/>
      <c r="H17" s="31"/>
      <c r="I17" s="26"/>
    </row>
    <row r="18" spans="1:9" s="24" customFormat="1" x14ac:dyDescent="0.2">
      <c r="A18" s="20" t="s">
        <v>373</v>
      </c>
      <c r="B18" s="20"/>
      <c r="C18" s="21">
        <v>25</v>
      </c>
      <c r="D18" s="26"/>
      <c r="F18" s="31"/>
      <c r="G18" s="31"/>
      <c r="H18" s="31"/>
      <c r="I18" s="26"/>
    </row>
    <row r="19" spans="1:9" s="24" customFormat="1" x14ac:dyDescent="0.2">
      <c r="A19" s="20" t="s">
        <v>354</v>
      </c>
      <c r="B19" s="20"/>
      <c r="C19" s="21">
        <v>57</v>
      </c>
      <c r="D19" s="26"/>
      <c r="F19" s="31"/>
      <c r="G19" s="31"/>
      <c r="H19" s="31"/>
      <c r="I19" s="26"/>
    </row>
    <row r="20" spans="1:9" s="24" customFormat="1" x14ac:dyDescent="0.2">
      <c r="A20" s="29"/>
      <c r="B20" s="29"/>
      <c r="C20" s="30"/>
      <c r="D20" s="26"/>
      <c r="F20" s="31"/>
      <c r="G20" s="31"/>
      <c r="H20" s="31"/>
      <c r="I20" s="26"/>
    </row>
    <row r="21" spans="1:9" s="24" customFormat="1" x14ac:dyDescent="0.2">
      <c r="A21" s="32" t="s">
        <v>13</v>
      </c>
      <c r="B21" s="25"/>
      <c r="C21" s="27"/>
      <c r="D21" s="26"/>
      <c r="F21" s="26"/>
      <c r="G21" s="26"/>
      <c r="H21" s="26"/>
      <c r="I21" s="26"/>
    </row>
    <row r="22" spans="1:9" s="24" customFormat="1" x14ac:dyDescent="0.2">
      <c r="A22" s="20" t="s">
        <v>300</v>
      </c>
      <c r="B22" s="20"/>
      <c r="C22" s="20">
        <v>331.89</v>
      </c>
      <c r="D22" s="26"/>
      <c r="F22" s="26"/>
      <c r="G22" s="26"/>
      <c r="H22" s="68" t="s">
        <v>330</v>
      </c>
      <c r="I22" s="26"/>
    </row>
    <row r="23" spans="1:9" s="26" customFormat="1" x14ac:dyDescent="0.2">
      <c r="A23" s="20" t="s">
        <v>316</v>
      </c>
      <c r="B23" s="20"/>
      <c r="C23" s="21">
        <v>525</v>
      </c>
      <c r="H23" s="25">
        <f>(H8+H11)/2</f>
        <v>679.81000000000017</v>
      </c>
    </row>
    <row r="24" spans="1:9" s="26" customFormat="1" x14ac:dyDescent="0.2">
      <c r="A24" s="20" t="s">
        <v>348</v>
      </c>
      <c r="B24" s="20"/>
      <c r="C24" s="21">
        <v>209.6</v>
      </c>
    </row>
    <row r="25" spans="1:9" s="26" customFormat="1" x14ac:dyDescent="0.2">
      <c r="A25" s="20" t="s">
        <v>315</v>
      </c>
      <c r="B25" s="20"/>
      <c r="C25" s="21">
        <v>311.55</v>
      </c>
    </row>
    <row r="26" spans="1:9" s="24" customFormat="1" x14ac:dyDescent="0.2">
      <c r="A26" s="20" t="s">
        <v>76</v>
      </c>
      <c r="B26" s="20"/>
      <c r="C26" s="21">
        <v>14.99</v>
      </c>
      <c r="D26" s="26"/>
      <c r="H26" s="71"/>
    </row>
    <row r="27" spans="1:9" s="24" customFormat="1" x14ac:dyDescent="0.2">
      <c r="A27" s="20" t="s">
        <v>311</v>
      </c>
      <c r="B27" s="20"/>
      <c r="C27" s="21">
        <v>37.450000000000003</v>
      </c>
      <c r="D27" s="26"/>
      <c r="H27" s="26"/>
    </row>
    <row r="28" spans="1:9" s="26" customFormat="1" x14ac:dyDescent="0.2">
      <c r="A28" s="20" t="s">
        <v>79</v>
      </c>
      <c r="B28" s="20"/>
      <c r="C28" s="21">
        <v>142</v>
      </c>
    </row>
    <row r="29" spans="1:9" s="26" customFormat="1" x14ac:dyDescent="0.2">
      <c r="A29" s="20" t="s">
        <v>191</v>
      </c>
      <c r="B29" s="20"/>
      <c r="C29" s="21">
        <v>37.5</v>
      </c>
    </row>
    <row r="30" spans="1:9" s="26" customFormat="1" x14ac:dyDescent="0.2">
      <c r="A30" s="20" t="s">
        <v>349</v>
      </c>
      <c r="B30" s="20"/>
      <c r="C30" s="21">
        <v>209.6</v>
      </c>
    </row>
    <row r="31" spans="1:9" s="26" customFormat="1" x14ac:dyDescent="0.2">
      <c r="A31" s="20" t="s">
        <v>75</v>
      </c>
      <c r="B31" s="20"/>
      <c r="C31" s="21">
        <v>256.22000000000003</v>
      </c>
      <c r="I31" s="24"/>
    </row>
    <row r="32" spans="1:9" s="26" customFormat="1" x14ac:dyDescent="0.2">
      <c r="A32" s="20" t="s">
        <v>78</v>
      </c>
      <c r="B32" s="20"/>
      <c r="C32" s="21">
        <v>71.77</v>
      </c>
      <c r="H32" s="24"/>
      <c r="I32" s="24"/>
    </row>
    <row r="33" spans="1:9" s="24" customFormat="1" x14ac:dyDescent="0.2">
      <c r="A33" s="20" t="s">
        <v>267</v>
      </c>
      <c r="B33" s="20"/>
      <c r="C33" s="55">
        <v>26.13</v>
      </c>
      <c r="D33" s="26"/>
      <c r="F33" s="26"/>
      <c r="G33" s="26"/>
    </row>
    <row r="34" spans="1:9" s="26" customFormat="1" x14ac:dyDescent="0.2">
      <c r="A34" s="20" t="s">
        <v>301</v>
      </c>
      <c r="B34" s="20"/>
      <c r="C34" s="55">
        <v>157.22999999999999</v>
      </c>
    </row>
    <row r="35" spans="1:9" s="26" customFormat="1" x14ac:dyDescent="0.2">
      <c r="A35" s="20" t="s">
        <v>266</v>
      </c>
      <c r="B35" s="20"/>
      <c r="C35" s="21">
        <v>55.9</v>
      </c>
    </row>
    <row r="36" spans="1:9" s="24" customFormat="1" x14ac:dyDescent="0.2">
      <c r="A36" s="20" t="s">
        <v>302</v>
      </c>
      <c r="B36" s="20"/>
      <c r="C36" s="55">
        <v>155.08000000000001</v>
      </c>
      <c r="D36" s="26"/>
      <c r="F36" s="26"/>
      <c r="G36" s="26"/>
      <c r="I36"/>
    </row>
    <row r="37" spans="1:9" s="24" customFormat="1" x14ac:dyDescent="0.2">
      <c r="A37" s="14"/>
      <c r="B37" s="14"/>
      <c r="C37" s="14"/>
      <c r="D37" s="26"/>
      <c r="F37" s="26"/>
      <c r="I37"/>
    </row>
    <row r="38" spans="1:9" s="24" customFormat="1" x14ac:dyDescent="0.2">
      <c r="A38"/>
      <c r="B38"/>
      <c r="C38"/>
      <c r="D38" s="26"/>
      <c r="F38" s="26"/>
      <c r="G38" s="26"/>
      <c r="I38" s="26"/>
    </row>
    <row r="39" spans="1:9" s="26" customFormat="1" x14ac:dyDescent="0.2">
      <c r="C39"/>
    </row>
    <row r="40" spans="1:9" s="26" customFormat="1" x14ac:dyDescent="0.2">
      <c r="A40"/>
      <c r="B40"/>
      <c r="I40"/>
    </row>
    <row r="41" spans="1:9" x14ac:dyDescent="0.2">
      <c r="A41" s="74" t="s">
        <v>375</v>
      </c>
      <c r="C41" s="26"/>
      <c r="F41" s="26"/>
      <c r="G41" s="26"/>
    </row>
    <row r="42" spans="1:9" x14ac:dyDescent="0.2">
      <c r="A42" s="4" t="s">
        <v>356</v>
      </c>
      <c r="C42" s="26"/>
      <c r="F42" s="26"/>
      <c r="G42" s="26"/>
    </row>
    <row r="43" spans="1:9" s="26" customFormat="1" x14ac:dyDescent="0.2">
      <c r="A43" s="4" t="s">
        <v>357</v>
      </c>
      <c r="B43"/>
      <c r="I43"/>
    </row>
    <row r="44" spans="1:9" s="26" customFormat="1" x14ac:dyDescent="0.2">
      <c r="A44" s="4" t="s">
        <v>358</v>
      </c>
      <c r="B44"/>
      <c r="C44"/>
      <c r="F44"/>
      <c r="I44"/>
    </row>
    <row r="45" spans="1:9" x14ac:dyDescent="0.2">
      <c r="A45" s="4" t="s">
        <v>359</v>
      </c>
      <c r="G45" s="26"/>
    </row>
    <row r="46" spans="1:9" x14ac:dyDescent="0.2">
      <c r="A46" s="72" t="s">
        <v>360</v>
      </c>
      <c r="F46" s="26"/>
    </row>
    <row r="47" spans="1:9" x14ac:dyDescent="0.2">
      <c r="A47" s="72" t="s">
        <v>361</v>
      </c>
      <c r="F47" s="26"/>
    </row>
    <row r="48" spans="1:9" x14ac:dyDescent="0.2">
      <c r="A48" s="72" t="s">
        <v>362</v>
      </c>
    </row>
    <row r="49" spans="1:2" x14ac:dyDescent="0.2">
      <c r="A49" s="72" t="s">
        <v>363</v>
      </c>
    </row>
    <row r="50" spans="1:2" x14ac:dyDescent="0.2">
      <c r="A50" s="72" t="s">
        <v>364</v>
      </c>
      <c r="B50" s="44"/>
    </row>
    <row r="51" spans="1:2" x14ac:dyDescent="0.2">
      <c r="A51" s="25" t="s">
        <v>365</v>
      </c>
      <c r="B51" s="44"/>
    </row>
    <row r="52" spans="1:2" x14ac:dyDescent="0.2">
      <c r="A52" s="73" t="s">
        <v>366</v>
      </c>
      <c r="B52" s="44"/>
    </row>
    <row r="53" spans="1:2" x14ac:dyDescent="0.2">
      <c r="A53" s="25" t="s">
        <v>367</v>
      </c>
      <c r="B53" s="44"/>
    </row>
    <row r="54" spans="1:2" x14ac:dyDescent="0.2">
      <c r="A54" s="25" t="s">
        <v>368</v>
      </c>
      <c r="B54" s="44"/>
    </row>
    <row r="55" spans="1:2" x14ac:dyDescent="0.2">
      <c r="A55" s="25" t="s">
        <v>369</v>
      </c>
      <c r="B55" s="26"/>
    </row>
    <row r="56" spans="1:2" x14ac:dyDescent="0.2">
      <c r="A56" s="25" t="s">
        <v>370</v>
      </c>
      <c r="B56" s="26"/>
    </row>
    <row r="57" spans="1:2" x14ac:dyDescent="0.2">
      <c r="A57" s="25" t="s">
        <v>371</v>
      </c>
      <c r="B57" s="26"/>
    </row>
    <row r="58" spans="1:2" x14ac:dyDescent="0.2">
      <c r="A58" s="26"/>
      <c r="B58" s="26"/>
    </row>
    <row r="59" spans="1:2" x14ac:dyDescent="0.2">
      <c r="A59" s="26"/>
      <c r="B59" s="26"/>
    </row>
  </sheetData>
  <pageMargins left="0.7" right="0.7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K57"/>
  <sheetViews>
    <sheetView workbookViewId="0">
      <selection activeCell="A30" sqref="A30:C30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5.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372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2021.69</v>
      </c>
      <c r="C3" s="51">
        <v>2021.69</v>
      </c>
      <c r="H3" s="26"/>
    </row>
    <row r="4" spans="1:11" x14ac:dyDescent="0.2">
      <c r="A4" s="26" t="s">
        <v>265</v>
      </c>
      <c r="B4">
        <v>1026.6500000000001</v>
      </c>
      <c r="C4">
        <v>1026.6500000000001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25"/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3048.34</v>
      </c>
      <c r="G8" s="27">
        <f>C9+C10+C11+C12+C13+C14+C15+C16+C17+C18</f>
        <v>2263.2499999999995</v>
      </c>
      <c r="H8" s="25">
        <f>F8-G8</f>
        <v>785.0900000000006</v>
      </c>
    </row>
    <row r="9" spans="1:11" s="24" customFormat="1" x14ac:dyDescent="0.2">
      <c r="A9" s="20" t="s">
        <v>293</v>
      </c>
      <c r="B9" s="20"/>
      <c r="C9" s="20">
        <v>1211.1099999999999</v>
      </c>
      <c r="D9" s="26"/>
      <c r="F9" s="31"/>
      <c r="G9" s="31"/>
      <c r="H9" s="67"/>
      <c r="I9" s="26"/>
    </row>
    <row r="10" spans="1:11" s="24" customFormat="1" x14ac:dyDescent="0.2">
      <c r="A10" s="20" t="s">
        <v>60</v>
      </c>
      <c r="B10" s="20"/>
      <c r="C10" s="20">
        <v>121.08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351</v>
      </c>
      <c r="B11" s="20"/>
      <c r="C11" s="21">
        <v>209.6</v>
      </c>
      <c r="D11" s="26"/>
      <c r="F11" s="33">
        <f>B3+B4</f>
        <v>3048.34</v>
      </c>
      <c r="G11" s="27">
        <f>C21+C22+C23+C24+C25+C26+C27+C28+C29+C30+C31+C32+C33+C34</f>
        <v>2479.7200000000003</v>
      </c>
      <c r="H11" s="25">
        <f>F11-G11</f>
        <v>568.61999999999989</v>
      </c>
      <c r="I11" s="26"/>
    </row>
    <row r="12" spans="1:11" s="24" customFormat="1" x14ac:dyDescent="0.2">
      <c r="A12" s="20" t="s">
        <v>320</v>
      </c>
      <c r="B12" s="20"/>
      <c r="C12" s="21">
        <v>152.83000000000001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321</v>
      </c>
      <c r="B13" s="20"/>
      <c r="C13" s="21">
        <v>214.58</v>
      </c>
      <c r="D13" s="26"/>
      <c r="F13" s="31"/>
      <c r="G13" s="31"/>
      <c r="H13" s="31"/>
    </row>
    <row r="14" spans="1:11" s="24" customFormat="1" x14ac:dyDescent="0.2">
      <c r="A14" s="20" t="s">
        <v>350</v>
      </c>
      <c r="B14" s="20"/>
      <c r="C14" s="21">
        <v>209.6</v>
      </c>
      <c r="D14" s="26"/>
      <c r="F14" s="31"/>
      <c r="G14" s="31"/>
      <c r="H14" s="31"/>
      <c r="I14" s="26"/>
    </row>
    <row r="15" spans="1:11" s="24" customFormat="1" x14ac:dyDescent="0.2">
      <c r="A15" s="20" t="s">
        <v>311</v>
      </c>
      <c r="B15" s="20"/>
      <c r="C15" s="21">
        <v>37.450000000000003</v>
      </c>
      <c r="D15" s="26"/>
      <c r="F15" s="31"/>
      <c r="G15" s="31"/>
      <c r="H15" s="31"/>
      <c r="I15" s="26"/>
    </row>
    <row r="16" spans="1:11" s="24" customFormat="1" x14ac:dyDescent="0.2">
      <c r="A16" s="20" t="s">
        <v>319</v>
      </c>
      <c r="B16" s="20"/>
      <c r="C16" s="21">
        <v>25</v>
      </c>
      <c r="D16" s="26"/>
      <c r="F16" s="31"/>
      <c r="G16" s="31"/>
      <c r="H16" s="31"/>
      <c r="I16" s="26"/>
    </row>
    <row r="17" spans="1:9" s="24" customFormat="1" x14ac:dyDescent="0.2">
      <c r="A17" s="20" t="s">
        <v>373</v>
      </c>
      <c r="B17" s="20"/>
      <c r="C17" s="21">
        <v>25</v>
      </c>
      <c r="D17" s="26"/>
      <c r="F17" s="31"/>
      <c r="G17" s="31"/>
      <c r="H17" s="31"/>
      <c r="I17" s="26"/>
    </row>
    <row r="18" spans="1:9" s="24" customFormat="1" x14ac:dyDescent="0.2">
      <c r="A18" s="20" t="s">
        <v>354</v>
      </c>
      <c r="B18" s="20"/>
      <c r="C18" s="21">
        <v>57</v>
      </c>
      <c r="D18" s="26"/>
      <c r="F18" s="31"/>
      <c r="G18" s="31"/>
      <c r="H18" s="31"/>
      <c r="I18" s="26"/>
    </row>
    <row r="19" spans="1:9" s="24" customFormat="1" x14ac:dyDescent="0.2">
      <c r="A19" s="29"/>
      <c r="B19" s="29"/>
      <c r="C19" s="30"/>
      <c r="D19" s="26"/>
      <c r="F19" s="31"/>
      <c r="G19" s="31"/>
      <c r="H19" s="31"/>
      <c r="I19" s="26"/>
    </row>
    <row r="20" spans="1:9" s="24" customFormat="1" x14ac:dyDescent="0.2">
      <c r="A20" s="32" t="s">
        <v>13</v>
      </c>
      <c r="B20" s="25"/>
      <c r="C20" s="27"/>
      <c r="D20" s="26"/>
      <c r="F20" s="26"/>
      <c r="G20" s="26"/>
      <c r="H20" s="26"/>
      <c r="I20" s="26"/>
    </row>
    <row r="21" spans="1:9" s="24" customFormat="1" x14ac:dyDescent="0.2">
      <c r="A21" s="20" t="s">
        <v>300</v>
      </c>
      <c r="B21" s="20"/>
      <c r="C21" s="20">
        <v>331.89</v>
      </c>
      <c r="D21" s="26"/>
      <c r="F21" s="26"/>
      <c r="G21" s="26"/>
      <c r="H21" s="68" t="s">
        <v>330</v>
      </c>
      <c r="I21" s="26"/>
    </row>
    <row r="22" spans="1:9" s="26" customFormat="1" x14ac:dyDescent="0.2">
      <c r="A22" s="20" t="s">
        <v>316</v>
      </c>
      <c r="B22" s="20"/>
      <c r="C22" s="21">
        <v>525</v>
      </c>
      <c r="H22" s="25">
        <f>(H8+H11)/2</f>
        <v>676.85500000000025</v>
      </c>
    </row>
    <row r="23" spans="1:9" s="26" customFormat="1" x14ac:dyDescent="0.2">
      <c r="A23" s="20" t="s">
        <v>348</v>
      </c>
      <c r="B23" s="20"/>
      <c r="C23" s="21">
        <v>209.6</v>
      </c>
    </row>
    <row r="24" spans="1:9" s="26" customFormat="1" x14ac:dyDescent="0.2">
      <c r="A24" s="20" t="s">
        <v>315</v>
      </c>
      <c r="B24" s="20"/>
      <c r="C24" s="21">
        <v>311.55</v>
      </c>
    </row>
    <row r="25" spans="1:9" s="24" customFormat="1" x14ac:dyDescent="0.2">
      <c r="A25" s="20" t="s">
        <v>76</v>
      </c>
      <c r="B25" s="20"/>
      <c r="C25" s="21">
        <v>14.99</v>
      </c>
      <c r="D25" s="26"/>
      <c r="H25" s="71"/>
    </row>
    <row r="26" spans="1:9" s="24" customFormat="1" x14ac:dyDescent="0.2">
      <c r="A26" s="20" t="s">
        <v>311</v>
      </c>
      <c r="B26" s="20"/>
      <c r="C26" s="21">
        <v>37.450000000000003</v>
      </c>
      <c r="D26" s="26"/>
      <c r="H26" s="26"/>
    </row>
    <row r="27" spans="1:9" s="26" customFormat="1" x14ac:dyDescent="0.2">
      <c r="A27" s="20" t="s">
        <v>79</v>
      </c>
      <c r="B27" s="20"/>
      <c r="C27" s="21">
        <v>142</v>
      </c>
    </row>
    <row r="28" spans="1:9" s="26" customFormat="1" x14ac:dyDescent="0.2">
      <c r="A28" s="20" t="s">
        <v>349</v>
      </c>
      <c r="B28" s="20"/>
      <c r="C28" s="21">
        <v>209.6</v>
      </c>
    </row>
    <row r="29" spans="1:9" s="26" customFormat="1" x14ac:dyDescent="0.2">
      <c r="A29" s="20" t="s">
        <v>75</v>
      </c>
      <c r="B29" s="20"/>
      <c r="C29" s="21">
        <v>256.22000000000003</v>
      </c>
      <c r="I29" s="24"/>
    </row>
    <row r="30" spans="1:9" s="26" customFormat="1" x14ac:dyDescent="0.2">
      <c r="A30" s="20" t="s">
        <v>78</v>
      </c>
      <c r="B30" s="20"/>
      <c r="C30" s="21">
        <v>71.77</v>
      </c>
      <c r="H30" s="24"/>
      <c r="I30" s="24"/>
    </row>
    <row r="31" spans="1:9" s="24" customFormat="1" x14ac:dyDescent="0.2">
      <c r="A31" s="20" t="s">
        <v>267</v>
      </c>
      <c r="B31" s="20"/>
      <c r="C31" s="55">
        <v>26.13</v>
      </c>
      <c r="D31" s="26"/>
      <c r="F31" s="26"/>
      <c r="G31" s="26"/>
    </row>
    <row r="32" spans="1:9" s="26" customFormat="1" x14ac:dyDescent="0.2">
      <c r="A32" s="20" t="s">
        <v>301</v>
      </c>
      <c r="B32" s="20"/>
      <c r="C32" s="55">
        <v>130.63</v>
      </c>
    </row>
    <row r="33" spans="1:9" s="26" customFormat="1" x14ac:dyDescent="0.2">
      <c r="A33" s="20" t="s">
        <v>266</v>
      </c>
      <c r="B33" s="20"/>
      <c r="C33" s="21">
        <v>55.9</v>
      </c>
    </row>
    <row r="34" spans="1:9" s="24" customFormat="1" x14ac:dyDescent="0.2">
      <c r="A34" s="20" t="s">
        <v>302</v>
      </c>
      <c r="B34" s="20"/>
      <c r="C34" s="55">
        <v>156.99</v>
      </c>
      <c r="D34" s="26"/>
      <c r="F34" s="26"/>
      <c r="G34" s="26"/>
      <c r="I34"/>
    </row>
    <row r="35" spans="1:9" s="24" customFormat="1" x14ac:dyDescent="0.2">
      <c r="A35" s="14"/>
      <c r="B35" s="14"/>
      <c r="C35" s="14"/>
      <c r="D35" s="26"/>
      <c r="F35" s="26"/>
      <c r="I35"/>
    </row>
    <row r="36" spans="1:9" s="24" customFormat="1" x14ac:dyDescent="0.2">
      <c r="A36"/>
      <c r="B36"/>
      <c r="C36"/>
      <c r="D36" s="26"/>
      <c r="F36" s="26"/>
      <c r="G36" s="26"/>
      <c r="I36" s="26"/>
    </row>
    <row r="37" spans="1:9" s="26" customFormat="1" x14ac:dyDescent="0.2">
      <c r="C37"/>
    </row>
    <row r="38" spans="1:9" s="26" customFormat="1" x14ac:dyDescent="0.2">
      <c r="A38"/>
      <c r="B38"/>
      <c r="I38"/>
    </row>
    <row r="39" spans="1:9" x14ac:dyDescent="0.2">
      <c r="C39" s="26"/>
      <c r="F39" s="26"/>
      <c r="G39" s="26"/>
    </row>
    <row r="40" spans="1:9" x14ac:dyDescent="0.2">
      <c r="C40" s="26"/>
      <c r="F40" s="26"/>
      <c r="G40" s="26"/>
    </row>
    <row r="41" spans="1:9" s="26" customFormat="1" x14ac:dyDescent="0.2">
      <c r="A41"/>
      <c r="B41"/>
      <c r="I41"/>
    </row>
    <row r="42" spans="1:9" s="26" customFormat="1" x14ac:dyDescent="0.2">
      <c r="A42"/>
      <c r="B42"/>
      <c r="C42"/>
      <c r="F42"/>
      <c r="I42"/>
    </row>
    <row r="43" spans="1:9" x14ac:dyDescent="0.2">
      <c r="G43" s="26"/>
    </row>
    <row r="44" spans="1:9" x14ac:dyDescent="0.2">
      <c r="F44" s="26"/>
    </row>
    <row r="45" spans="1:9" x14ac:dyDescent="0.2">
      <c r="F45" s="26"/>
    </row>
    <row r="48" spans="1:9" x14ac:dyDescent="0.2">
      <c r="A48" s="54"/>
      <c r="B48" s="44"/>
    </row>
    <row r="49" spans="1:2" x14ac:dyDescent="0.2">
      <c r="A49" s="54"/>
      <c r="B49" s="44"/>
    </row>
    <row r="50" spans="1:2" x14ac:dyDescent="0.2">
      <c r="A50" s="54"/>
      <c r="B50" s="44"/>
    </row>
    <row r="51" spans="1:2" x14ac:dyDescent="0.2">
      <c r="A51" s="54"/>
      <c r="B51" s="44"/>
    </row>
    <row r="52" spans="1:2" x14ac:dyDescent="0.2">
      <c r="A52" s="44"/>
      <c r="B52" s="44"/>
    </row>
    <row r="53" spans="1:2" x14ac:dyDescent="0.2">
      <c r="A53" s="26"/>
      <c r="B53" s="26"/>
    </row>
    <row r="54" spans="1:2" x14ac:dyDescent="0.2">
      <c r="A54" s="26"/>
      <c r="B54" s="26"/>
    </row>
    <row r="55" spans="1:2" x14ac:dyDescent="0.2">
      <c r="A55" s="26"/>
      <c r="B55" s="26"/>
    </row>
    <row r="56" spans="1:2" x14ac:dyDescent="0.2">
      <c r="A56" s="26"/>
      <c r="B56" s="26"/>
    </row>
    <row r="57" spans="1:2" x14ac:dyDescent="0.2">
      <c r="A57" s="26"/>
      <c r="B57" s="26"/>
    </row>
  </sheetData>
  <pageMargins left="0.7" right="0.7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K55"/>
  <sheetViews>
    <sheetView workbookViewId="0">
      <selection activeCell="A28" sqref="A28:C28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5.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355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2021.69</v>
      </c>
      <c r="C3" s="51">
        <v>2021.69</v>
      </c>
      <c r="H3" s="26"/>
    </row>
    <row r="4" spans="1:11" x14ac:dyDescent="0.2">
      <c r="A4" s="26" t="s">
        <v>265</v>
      </c>
      <c r="B4">
        <v>1026.6500000000001</v>
      </c>
      <c r="C4">
        <v>1026.6500000000001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25"/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3048.34</v>
      </c>
      <c r="G8" s="27">
        <f>C9+C10+C11+C12+C13+C14+C15+C16</f>
        <v>2213.2499999999995</v>
      </c>
      <c r="H8" s="25">
        <f>F8-G8</f>
        <v>835.0900000000006</v>
      </c>
    </row>
    <row r="9" spans="1:11" s="24" customFormat="1" x14ac:dyDescent="0.2">
      <c r="A9" s="20" t="s">
        <v>293</v>
      </c>
      <c r="B9" s="20"/>
      <c r="C9" s="20">
        <v>1211.1099999999999</v>
      </c>
      <c r="D9" s="26"/>
      <c r="F9" s="31"/>
      <c r="G9" s="31"/>
      <c r="H9" s="67"/>
      <c r="I9" s="26"/>
    </row>
    <row r="10" spans="1:11" s="24" customFormat="1" x14ac:dyDescent="0.2">
      <c r="A10" s="20" t="s">
        <v>60</v>
      </c>
      <c r="B10" s="20"/>
      <c r="C10" s="20">
        <v>121.08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351</v>
      </c>
      <c r="B11" s="20"/>
      <c r="C11" s="21">
        <v>209.6</v>
      </c>
      <c r="D11" s="26"/>
      <c r="F11" s="33">
        <f>B3+B4</f>
        <v>3048.34</v>
      </c>
      <c r="G11" s="27">
        <f>C19+C20+C21+C22+C23+C24+C25+C26+C27+C28+C29+C30+C31+C32</f>
        <v>2478.8300000000004</v>
      </c>
      <c r="H11" s="25">
        <f>F11-G11</f>
        <v>569.50999999999976</v>
      </c>
      <c r="I11" s="26"/>
    </row>
    <row r="12" spans="1:11" s="24" customFormat="1" x14ac:dyDescent="0.2">
      <c r="A12" s="20" t="s">
        <v>320</v>
      </c>
      <c r="B12" s="20"/>
      <c r="C12" s="21">
        <v>152.83000000000001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321</v>
      </c>
      <c r="B13" s="20"/>
      <c r="C13" s="21">
        <v>214.58</v>
      </c>
      <c r="D13" s="26"/>
      <c r="F13" s="31"/>
      <c r="G13" s="31"/>
      <c r="H13" s="31"/>
    </row>
    <row r="14" spans="1:11" s="24" customFormat="1" x14ac:dyDescent="0.2">
      <c r="A14" s="20" t="s">
        <v>350</v>
      </c>
      <c r="B14" s="20"/>
      <c r="C14" s="21">
        <v>209.6</v>
      </c>
      <c r="D14" s="26"/>
      <c r="F14" s="31"/>
      <c r="G14" s="31"/>
      <c r="H14" s="31"/>
      <c r="I14" s="26"/>
    </row>
    <row r="15" spans="1:11" s="24" customFormat="1" x14ac:dyDescent="0.2">
      <c r="A15" s="20" t="s">
        <v>311</v>
      </c>
      <c r="B15" s="20"/>
      <c r="C15" s="21">
        <v>37.450000000000003</v>
      </c>
      <c r="D15" s="26"/>
      <c r="F15" s="31"/>
      <c r="G15" s="31"/>
      <c r="H15" s="31"/>
      <c r="I15" s="26"/>
    </row>
    <row r="16" spans="1:11" s="24" customFormat="1" x14ac:dyDescent="0.2">
      <c r="A16" s="20" t="s">
        <v>354</v>
      </c>
      <c r="B16" s="20"/>
      <c r="C16" s="21">
        <v>57</v>
      </c>
      <c r="D16" s="26"/>
      <c r="F16" s="31"/>
      <c r="G16" s="31"/>
      <c r="H16" s="31"/>
      <c r="I16" s="26"/>
    </row>
    <row r="17" spans="1:9" s="24" customFormat="1" x14ac:dyDescent="0.2">
      <c r="A17" s="29"/>
      <c r="B17" s="29"/>
      <c r="C17" s="30"/>
      <c r="D17" s="26"/>
      <c r="F17" s="31"/>
      <c r="G17" s="31"/>
      <c r="H17" s="31"/>
      <c r="I17" s="26"/>
    </row>
    <row r="18" spans="1:9" s="24" customFormat="1" x14ac:dyDescent="0.2">
      <c r="A18" s="32" t="s">
        <v>13</v>
      </c>
      <c r="B18" s="25"/>
      <c r="C18" s="27"/>
      <c r="D18" s="26"/>
      <c r="F18" s="26"/>
      <c r="G18" s="26"/>
      <c r="H18" s="26"/>
      <c r="I18" s="26"/>
    </row>
    <row r="19" spans="1:9" s="24" customFormat="1" x14ac:dyDescent="0.2">
      <c r="A19" s="20" t="s">
        <v>300</v>
      </c>
      <c r="B19" s="20"/>
      <c r="C19" s="20">
        <v>331.89</v>
      </c>
      <c r="D19" s="26"/>
      <c r="F19" s="26"/>
      <c r="G19" s="26"/>
      <c r="H19" s="68" t="s">
        <v>330</v>
      </c>
      <c r="I19" s="26"/>
    </row>
    <row r="20" spans="1:9" s="26" customFormat="1" x14ac:dyDescent="0.2">
      <c r="A20" s="20" t="s">
        <v>316</v>
      </c>
      <c r="B20" s="20"/>
      <c r="C20" s="21">
        <v>525</v>
      </c>
      <c r="H20" s="25">
        <f>(H8+H11)/2</f>
        <v>702.30000000000018</v>
      </c>
    </row>
    <row r="21" spans="1:9" s="26" customFormat="1" x14ac:dyDescent="0.2">
      <c r="A21" s="20" t="s">
        <v>348</v>
      </c>
      <c r="B21" s="20"/>
      <c r="C21" s="21">
        <v>209.6</v>
      </c>
    </row>
    <row r="22" spans="1:9" s="26" customFormat="1" x14ac:dyDescent="0.2">
      <c r="A22" s="20" t="s">
        <v>315</v>
      </c>
      <c r="B22" s="20"/>
      <c r="C22" s="21">
        <v>311.55</v>
      </c>
    </row>
    <row r="23" spans="1:9" s="24" customFormat="1" x14ac:dyDescent="0.2">
      <c r="A23" s="20" t="s">
        <v>76</v>
      </c>
      <c r="B23" s="20"/>
      <c r="C23" s="21">
        <v>14.99</v>
      </c>
      <c r="D23" s="26"/>
    </row>
    <row r="24" spans="1:9" s="24" customFormat="1" x14ac:dyDescent="0.2">
      <c r="A24" s="20" t="s">
        <v>311</v>
      </c>
      <c r="B24" s="20"/>
      <c r="C24" s="21">
        <v>37.450000000000003</v>
      </c>
      <c r="D24" s="26"/>
    </row>
    <row r="25" spans="1:9" s="26" customFormat="1" x14ac:dyDescent="0.2">
      <c r="A25" s="20" t="s">
        <v>79</v>
      </c>
      <c r="B25" s="20"/>
      <c r="C25" s="21">
        <v>142</v>
      </c>
    </row>
    <row r="26" spans="1:9" s="26" customFormat="1" x14ac:dyDescent="0.2">
      <c r="A26" s="20" t="s">
        <v>349</v>
      </c>
      <c r="B26" s="20"/>
      <c r="C26" s="21">
        <v>209.6</v>
      </c>
    </row>
    <row r="27" spans="1:9" s="26" customFormat="1" x14ac:dyDescent="0.2">
      <c r="A27" s="20" t="s">
        <v>75</v>
      </c>
      <c r="B27" s="20"/>
      <c r="C27" s="21">
        <v>256.22000000000003</v>
      </c>
      <c r="I27" s="24"/>
    </row>
    <row r="28" spans="1:9" s="26" customFormat="1" x14ac:dyDescent="0.2">
      <c r="A28" s="20" t="s">
        <v>78</v>
      </c>
      <c r="B28" s="20"/>
      <c r="C28" s="21">
        <v>71.77</v>
      </c>
      <c r="H28" s="24"/>
      <c r="I28" s="24"/>
    </row>
    <row r="29" spans="1:9" s="24" customFormat="1" x14ac:dyDescent="0.2">
      <c r="A29" s="20" t="s">
        <v>267</v>
      </c>
      <c r="B29" s="20"/>
      <c r="C29" s="55">
        <v>26.13</v>
      </c>
      <c r="D29" s="26"/>
      <c r="F29" s="26"/>
      <c r="G29" s="26"/>
    </row>
    <row r="30" spans="1:9" s="26" customFormat="1" x14ac:dyDescent="0.2">
      <c r="A30" s="20" t="s">
        <v>301</v>
      </c>
      <c r="B30" s="20"/>
      <c r="C30" s="55">
        <v>130.63</v>
      </c>
    </row>
    <row r="31" spans="1:9" s="26" customFormat="1" x14ac:dyDescent="0.2">
      <c r="A31" s="20" t="s">
        <v>266</v>
      </c>
      <c r="B31" s="20"/>
      <c r="C31" s="21">
        <v>55.9</v>
      </c>
    </row>
    <row r="32" spans="1:9" s="24" customFormat="1" x14ac:dyDescent="0.2">
      <c r="A32" s="20" t="s">
        <v>302</v>
      </c>
      <c r="B32" s="20"/>
      <c r="C32" s="55">
        <v>156.1</v>
      </c>
      <c r="D32" s="26"/>
      <c r="F32" s="26"/>
      <c r="G32" s="26"/>
      <c r="I32"/>
    </row>
    <row r="33" spans="1:9" s="24" customFormat="1" x14ac:dyDescent="0.2">
      <c r="A33" s="14"/>
      <c r="B33" s="14"/>
      <c r="C33" s="14"/>
      <c r="D33" s="26"/>
      <c r="F33" s="26"/>
      <c r="I33"/>
    </row>
    <row r="34" spans="1:9" s="24" customFormat="1" x14ac:dyDescent="0.2">
      <c r="A34"/>
      <c r="B34"/>
      <c r="C34"/>
      <c r="D34" s="26"/>
      <c r="F34" s="26"/>
      <c r="G34" s="26"/>
      <c r="I34" s="26"/>
    </row>
    <row r="35" spans="1:9" s="26" customFormat="1" x14ac:dyDescent="0.2">
      <c r="C35"/>
    </row>
    <row r="36" spans="1:9" s="26" customFormat="1" x14ac:dyDescent="0.2">
      <c r="A36"/>
      <c r="B36"/>
      <c r="I36"/>
    </row>
    <row r="37" spans="1:9" x14ac:dyDescent="0.2">
      <c r="C37" s="26"/>
      <c r="F37" s="26"/>
      <c r="G37" s="26"/>
    </row>
    <row r="38" spans="1:9" x14ac:dyDescent="0.2">
      <c r="C38" s="26"/>
      <c r="F38" s="26"/>
      <c r="G38" s="26"/>
    </row>
    <row r="39" spans="1:9" s="26" customFormat="1" x14ac:dyDescent="0.2">
      <c r="A39"/>
      <c r="B39"/>
      <c r="I39"/>
    </row>
    <row r="40" spans="1:9" s="26" customFormat="1" x14ac:dyDescent="0.2">
      <c r="A40"/>
      <c r="B40"/>
      <c r="C40"/>
      <c r="F40"/>
      <c r="I40"/>
    </row>
    <row r="41" spans="1:9" x14ac:dyDescent="0.2">
      <c r="G41" s="26"/>
    </row>
    <row r="42" spans="1:9" x14ac:dyDescent="0.2">
      <c r="F42" s="26"/>
    </row>
    <row r="43" spans="1:9" x14ac:dyDescent="0.2">
      <c r="F43" s="26"/>
    </row>
    <row r="46" spans="1:9" x14ac:dyDescent="0.2">
      <c r="A46" s="54"/>
      <c r="B46" s="44"/>
    </row>
    <row r="47" spans="1:9" x14ac:dyDescent="0.2">
      <c r="A47" s="54"/>
      <c r="B47" s="44"/>
    </row>
    <row r="48" spans="1:9" x14ac:dyDescent="0.2">
      <c r="A48" s="54"/>
      <c r="B48" s="44"/>
    </row>
    <row r="49" spans="1:2" x14ac:dyDescent="0.2">
      <c r="A49" s="54"/>
      <c r="B49" s="44"/>
    </row>
    <row r="50" spans="1:2" x14ac:dyDescent="0.2">
      <c r="A50" s="44"/>
      <c r="B50" s="44"/>
    </row>
    <row r="51" spans="1:2" x14ac:dyDescent="0.2">
      <c r="A51" s="26"/>
      <c r="B51" s="26"/>
    </row>
    <row r="52" spans="1:2" x14ac:dyDescent="0.2">
      <c r="A52" s="26"/>
      <c r="B52" s="26"/>
    </row>
    <row r="53" spans="1:2" x14ac:dyDescent="0.2">
      <c r="A53" s="26"/>
      <c r="B53" s="26"/>
    </row>
    <row r="54" spans="1:2" x14ac:dyDescent="0.2">
      <c r="A54" s="26"/>
      <c r="B54" s="26"/>
    </row>
    <row r="55" spans="1:2" x14ac:dyDescent="0.2">
      <c r="A55" s="26"/>
      <c r="B55" s="26"/>
    </row>
  </sheetData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55"/>
  <sheetViews>
    <sheetView workbookViewId="0">
      <selection activeCell="A31" sqref="A31:C31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5.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353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1950.48</v>
      </c>
      <c r="C3" s="51">
        <v>1950.48</v>
      </c>
      <c r="H3" s="26"/>
    </row>
    <row r="4" spans="1:11" x14ac:dyDescent="0.2">
      <c r="A4" s="26" t="s">
        <v>265</v>
      </c>
      <c r="B4">
        <v>1026.6500000000001</v>
      </c>
      <c r="C4">
        <v>1026.6500000000001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25"/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2977.13</v>
      </c>
      <c r="G8" s="27">
        <f>C9+C10+C11+C12+C13+C14+C15+C16</f>
        <v>2212.0499999999993</v>
      </c>
      <c r="H8" s="25">
        <f>F8-G8</f>
        <v>765.08000000000084</v>
      </c>
    </row>
    <row r="9" spans="1:11" s="24" customFormat="1" x14ac:dyDescent="0.2">
      <c r="A9" s="20" t="s">
        <v>293</v>
      </c>
      <c r="B9" s="20"/>
      <c r="C9" s="20">
        <v>1211.1099999999999</v>
      </c>
      <c r="D9" s="26"/>
      <c r="F9" s="31"/>
      <c r="G9" s="31"/>
      <c r="H9" s="67"/>
      <c r="I9" s="26"/>
    </row>
    <row r="10" spans="1:11" s="24" customFormat="1" x14ac:dyDescent="0.2">
      <c r="A10" s="20" t="s">
        <v>60</v>
      </c>
      <c r="B10" s="20"/>
      <c r="C10" s="20">
        <v>121.08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351</v>
      </c>
      <c r="B11" s="20"/>
      <c r="C11" s="21">
        <v>209</v>
      </c>
      <c r="D11" s="26"/>
      <c r="F11" s="33">
        <f>B3+B4</f>
        <v>2977.13</v>
      </c>
      <c r="G11" s="27">
        <f>C19+C20+C21+C22+C23+C24+C25+C26+C27+C28+C29+C30+C31+C32</f>
        <v>2471.5300000000002</v>
      </c>
      <c r="H11" s="25">
        <f>F11-G11</f>
        <v>505.59999999999991</v>
      </c>
      <c r="I11" s="26"/>
    </row>
    <row r="12" spans="1:11" s="24" customFormat="1" x14ac:dyDescent="0.2">
      <c r="A12" s="20" t="s">
        <v>320</v>
      </c>
      <c r="B12" s="20"/>
      <c r="C12" s="21">
        <v>152.83000000000001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321</v>
      </c>
      <c r="B13" s="20"/>
      <c r="C13" s="21">
        <v>214.58</v>
      </c>
      <c r="D13" s="26"/>
      <c r="F13" s="31"/>
      <c r="G13" s="31"/>
      <c r="H13" s="31"/>
    </row>
    <row r="14" spans="1:11" s="24" customFormat="1" x14ac:dyDescent="0.2">
      <c r="A14" s="20" t="s">
        <v>350</v>
      </c>
      <c r="B14" s="20"/>
      <c r="C14" s="21">
        <v>209</v>
      </c>
      <c r="D14" s="26"/>
      <c r="F14" s="31"/>
      <c r="G14" s="31"/>
      <c r="H14" s="31"/>
      <c r="I14" s="26"/>
    </row>
    <row r="15" spans="1:11" s="24" customFormat="1" x14ac:dyDescent="0.2">
      <c r="A15" s="20" t="s">
        <v>311</v>
      </c>
      <c r="B15" s="20"/>
      <c r="C15" s="21">
        <v>37.450000000000003</v>
      </c>
      <c r="D15" s="26"/>
      <c r="F15" s="31"/>
      <c r="G15" s="31"/>
      <c r="H15" s="31"/>
      <c r="I15" s="26"/>
    </row>
    <row r="16" spans="1:11" s="24" customFormat="1" x14ac:dyDescent="0.2">
      <c r="A16" s="20" t="s">
        <v>354</v>
      </c>
      <c r="B16" s="20"/>
      <c r="C16" s="21">
        <v>57</v>
      </c>
      <c r="D16" s="26"/>
      <c r="F16" s="31"/>
      <c r="G16" s="31"/>
      <c r="H16" s="31"/>
      <c r="I16" s="26"/>
    </row>
    <row r="17" spans="1:9" s="24" customFormat="1" x14ac:dyDescent="0.2">
      <c r="A17" s="29"/>
      <c r="B17" s="29"/>
      <c r="C17" s="30"/>
      <c r="D17" s="26"/>
      <c r="F17" s="31"/>
      <c r="G17" s="31"/>
      <c r="H17" s="31"/>
      <c r="I17" s="26"/>
    </row>
    <row r="18" spans="1:9" s="24" customFormat="1" x14ac:dyDescent="0.2">
      <c r="A18" s="32" t="s">
        <v>13</v>
      </c>
      <c r="B18" s="25"/>
      <c r="C18" s="27"/>
      <c r="D18" s="26"/>
      <c r="F18" s="26"/>
      <c r="G18" s="26"/>
      <c r="H18" s="26"/>
      <c r="I18" s="26"/>
    </row>
    <row r="19" spans="1:9" s="24" customFormat="1" x14ac:dyDescent="0.2">
      <c r="A19" s="20" t="s">
        <v>300</v>
      </c>
      <c r="B19" s="20"/>
      <c r="C19" s="20">
        <v>331.89</v>
      </c>
      <c r="D19" s="26"/>
      <c r="F19" s="26"/>
      <c r="G19" s="26"/>
      <c r="H19" s="68" t="s">
        <v>330</v>
      </c>
      <c r="I19" s="26"/>
    </row>
    <row r="20" spans="1:9" s="26" customFormat="1" x14ac:dyDescent="0.2">
      <c r="A20" s="20" t="s">
        <v>316</v>
      </c>
      <c r="B20" s="20"/>
      <c r="C20" s="21">
        <v>525</v>
      </c>
      <c r="H20" s="25">
        <f>(H8+H11)/2</f>
        <v>635.34000000000037</v>
      </c>
    </row>
    <row r="21" spans="1:9" s="26" customFormat="1" x14ac:dyDescent="0.2">
      <c r="A21" s="20" t="s">
        <v>348</v>
      </c>
      <c r="B21" s="20"/>
      <c r="C21" s="21">
        <v>209</v>
      </c>
    </row>
    <row r="22" spans="1:9" s="26" customFormat="1" x14ac:dyDescent="0.2">
      <c r="A22" s="20" t="s">
        <v>315</v>
      </c>
      <c r="B22" s="20"/>
      <c r="C22" s="21">
        <v>311.55</v>
      </c>
    </row>
    <row r="23" spans="1:9" s="24" customFormat="1" x14ac:dyDescent="0.2">
      <c r="A23" s="20" t="s">
        <v>76</v>
      </c>
      <c r="B23" s="20"/>
      <c r="C23" s="21">
        <v>14.99</v>
      </c>
      <c r="D23" s="26"/>
    </row>
    <row r="24" spans="1:9" s="24" customFormat="1" x14ac:dyDescent="0.2">
      <c r="A24" s="20" t="s">
        <v>311</v>
      </c>
      <c r="B24" s="20"/>
      <c r="C24" s="21">
        <v>37.450000000000003</v>
      </c>
      <c r="D24" s="26"/>
    </row>
    <row r="25" spans="1:9" s="26" customFormat="1" x14ac:dyDescent="0.2">
      <c r="A25" s="20" t="s">
        <v>79</v>
      </c>
      <c r="B25" s="20"/>
      <c r="C25" s="21">
        <v>142</v>
      </c>
    </row>
    <row r="26" spans="1:9" s="26" customFormat="1" x14ac:dyDescent="0.2">
      <c r="A26" s="20" t="s">
        <v>349</v>
      </c>
      <c r="B26" s="20"/>
      <c r="C26" s="21">
        <v>209</v>
      </c>
    </row>
    <row r="27" spans="1:9" s="26" customFormat="1" x14ac:dyDescent="0.2">
      <c r="A27" s="20" t="s">
        <v>75</v>
      </c>
      <c r="B27" s="20"/>
      <c r="C27" s="21">
        <v>256.22000000000003</v>
      </c>
      <c r="I27" s="24"/>
    </row>
    <row r="28" spans="1:9" s="26" customFormat="1" x14ac:dyDescent="0.2">
      <c r="A28" s="20" t="s">
        <v>78</v>
      </c>
      <c r="B28" s="20"/>
      <c r="C28" s="21">
        <v>71.77</v>
      </c>
      <c r="H28" s="24"/>
      <c r="I28" s="24"/>
    </row>
    <row r="29" spans="1:9" s="24" customFormat="1" x14ac:dyDescent="0.2">
      <c r="A29" s="20" t="s">
        <v>267</v>
      </c>
      <c r="B29" s="20"/>
      <c r="C29" s="55">
        <v>26.13</v>
      </c>
      <c r="D29" s="26"/>
      <c r="F29" s="26"/>
      <c r="G29" s="26"/>
    </row>
    <row r="30" spans="1:9" s="26" customFormat="1" x14ac:dyDescent="0.2">
      <c r="A30" s="20" t="s">
        <v>301</v>
      </c>
      <c r="B30" s="20"/>
      <c r="C30" s="55">
        <v>130.63</v>
      </c>
    </row>
    <row r="31" spans="1:9" s="26" customFormat="1" x14ac:dyDescent="0.2">
      <c r="A31" s="20" t="s">
        <v>266</v>
      </c>
      <c r="B31" s="20"/>
      <c r="C31" s="21">
        <v>55.9</v>
      </c>
    </row>
    <row r="32" spans="1:9" s="24" customFormat="1" x14ac:dyDescent="0.2">
      <c r="A32" s="20" t="s">
        <v>302</v>
      </c>
      <c r="B32" s="20"/>
      <c r="C32" s="55">
        <v>150</v>
      </c>
      <c r="D32" s="26"/>
      <c r="F32" s="26"/>
      <c r="G32" s="26"/>
      <c r="I32"/>
    </row>
    <row r="33" spans="1:9" s="24" customFormat="1" x14ac:dyDescent="0.2">
      <c r="A33" s="14"/>
      <c r="B33" s="14"/>
      <c r="C33" s="14"/>
      <c r="D33" s="26"/>
      <c r="F33" s="26"/>
      <c r="I33"/>
    </row>
    <row r="34" spans="1:9" s="24" customFormat="1" x14ac:dyDescent="0.2">
      <c r="A34"/>
      <c r="B34"/>
      <c r="C34"/>
      <c r="D34" s="26"/>
      <c r="F34" s="26"/>
      <c r="G34" s="26"/>
      <c r="I34" s="26"/>
    </row>
    <row r="35" spans="1:9" s="26" customFormat="1" x14ac:dyDescent="0.2">
      <c r="A35" s="26">
        <v>188.16</v>
      </c>
      <c r="C35"/>
    </row>
    <row r="36" spans="1:9" s="26" customFormat="1" x14ac:dyDescent="0.2">
      <c r="A36"/>
      <c r="B36"/>
      <c r="I36"/>
    </row>
    <row r="37" spans="1:9" x14ac:dyDescent="0.2">
      <c r="C37" s="26"/>
      <c r="F37" s="26"/>
      <c r="G37" s="26"/>
    </row>
    <row r="38" spans="1:9" x14ac:dyDescent="0.2">
      <c r="C38" s="26"/>
      <c r="F38" s="26"/>
      <c r="G38" s="26"/>
    </row>
    <row r="39" spans="1:9" s="26" customFormat="1" x14ac:dyDescent="0.2">
      <c r="A39"/>
      <c r="B39"/>
      <c r="I39"/>
    </row>
    <row r="40" spans="1:9" s="26" customFormat="1" x14ac:dyDescent="0.2">
      <c r="A40"/>
      <c r="B40"/>
      <c r="C40"/>
      <c r="F40"/>
      <c r="I40"/>
    </row>
    <row r="41" spans="1:9" x14ac:dyDescent="0.2">
      <c r="G41" s="26"/>
    </row>
    <row r="42" spans="1:9" x14ac:dyDescent="0.2">
      <c r="F42" s="26"/>
    </row>
    <row r="43" spans="1:9" x14ac:dyDescent="0.2">
      <c r="F43" s="26"/>
    </row>
    <row r="46" spans="1:9" x14ac:dyDescent="0.2">
      <c r="A46" s="54"/>
      <c r="B46" s="44"/>
    </row>
    <row r="47" spans="1:9" x14ac:dyDescent="0.2">
      <c r="A47" s="54"/>
      <c r="B47" s="44"/>
    </row>
    <row r="48" spans="1:9" x14ac:dyDescent="0.2">
      <c r="A48" s="54"/>
      <c r="B48" s="44"/>
    </row>
    <row r="49" spans="1:2" x14ac:dyDescent="0.2">
      <c r="A49" s="54"/>
      <c r="B49" s="44"/>
    </row>
    <row r="50" spans="1:2" x14ac:dyDescent="0.2">
      <c r="A50" s="44"/>
      <c r="B50" s="44"/>
    </row>
    <row r="51" spans="1:2" x14ac:dyDescent="0.2">
      <c r="A51" s="26"/>
      <c r="B51" s="26"/>
    </row>
    <row r="52" spans="1:2" x14ac:dyDescent="0.2">
      <c r="A52" s="26"/>
      <c r="B52" s="26"/>
    </row>
    <row r="53" spans="1:2" x14ac:dyDescent="0.2">
      <c r="A53" s="26"/>
      <c r="B53" s="26"/>
    </row>
    <row r="54" spans="1:2" x14ac:dyDescent="0.2">
      <c r="A54" s="26"/>
      <c r="B54" s="26"/>
    </row>
    <row r="55" spans="1:2" x14ac:dyDescent="0.2">
      <c r="A55" s="26"/>
      <c r="B55" s="26"/>
    </row>
  </sheetData>
  <pageMargins left="0.7" right="0.7" top="0.75" bottom="0.75" header="0.3" footer="0.3"/>
  <pageSetup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54"/>
  <sheetViews>
    <sheetView workbookViewId="0">
      <selection activeCell="A27" sqref="A27:C27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5.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352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1950.48</v>
      </c>
      <c r="C3" s="51">
        <v>1950.48</v>
      </c>
      <c r="H3" s="26"/>
    </row>
    <row r="4" spans="1:11" x14ac:dyDescent="0.2">
      <c r="A4" s="26" t="s">
        <v>265</v>
      </c>
      <c r="B4">
        <v>1026.6500000000001</v>
      </c>
      <c r="C4">
        <v>1026.6500000000001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25"/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2977.13</v>
      </c>
      <c r="G8" s="27">
        <f>C9+C10+C11+C12+C13+C14+C15</f>
        <v>2210.8499999999995</v>
      </c>
      <c r="H8" s="25">
        <f>F8-G8</f>
        <v>766.28000000000065</v>
      </c>
    </row>
    <row r="9" spans="1:11" s="24" customFormat="1" x14ac:dyDescent="0.2">
      <c r="A9" s="20" t="s">
        <v>293</v>
      </c>
      <c r="B9" s="20"/>
      <c r="C9" s="20">
        <v>1211.1099999999999</v>
      </c>
      <c r="D9" s="26"/>
      <c r="F9" s="31"/>
      <c r="G9" s="31"/>
      <c r="H9" s="67"/>
      <c r="I9" s="26"/>
    </row>
    <row r="10" spans="1:11" s="24" customFormat="1" x14ac:dyDescent="0.2">
      <c r="A10" s="20" t="s">
        <v>60</v>
      </c>
      <c r="B10" s="20"/>
      <c r="C10" s="20">
        <v>121.08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351</v>
      </c>
      <c r="B11" s="20"/>
      <c r="C11" s="21">
        <v>236.9</v>
      </c>
      <c r="D11" s="26"/>
      <c r="F11" s="33">
        <f>B3+B4</f>
        <v>2977.13</v>
      </c>
      <c r="G11" s="27">
        <f>C18+C19+C20+C21+C22+C23+C24+C25+C26+C27+C28+C29+C30+C31</f>
        <v>2508.5100000000002</v>
      </c>
      <c r="H11" s="25">
        <f>F11-G11</f>
        <v>468.61999999999989</v>
      </c>
      <c r="I11" s="26"/>
    </row>
    <row r="12" spans="1:11" s="24" customFormat="1" x14ac:dyDescent="0.2">
      <c r="A12" s="20" t="s">
        <v>320</v>
      </c>
      <c r="B12" s="20"/>
      <c r="C12" s="21">
        <v>152.83000000000001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321</v>
      </c>
      <c r="B13" s="20"/>
      <c r="C13" s="21">
        <v>214.58</v>
      </c>
      <c r="D13" s="26"/>
      <c r="F13" s="31"/>
      <c r="G13" s="31"/>
      <c r="H13" s="31"/>
    </row>
    <row r="14" spans="1:11" s="24" customFormat="1" x14ac:dyDescent="0.2">
      <c r="A14" s="20" t="s">
        <v>350</v>
      </c>
      <c r="B14" s="20"/>
      <c r="C14" s="21">
        <v>236.9</v>
      </c>
      <c r="D14" s="26"/>
      <c r="F14" s="31"/>
      <c r="G14" s="31"/>
      <c r="H14" s="31"/>
      <c r="I14" s="26"/>
    </row>
    <row r="15" spans="1:11" s="24" customFormat="1" x14ac:dyDescent="0.2">
      <c r="A15" s="20" t="s">
        <v>311</v>
      </c>
      <c r="B15" s="20"/>
      <c r="C15" s="21">
        <v>37.450000000000003</v>
      </c>
      <c r="D15" s="26"/>
      <c r="F15" s="31"/>
      <c r="G15" s="31"/>
      <c r="H15" s="31"/>
      <c r="I15" s="26"/>
    </row>
    <row r="16" spans="1:11" s="24" customFormat="1" x14ac:dyDescent="0.2">
      <c r="A16" s="29"/>
      <c r="B16" s="29"/>
      <c r="C16" s="30"/>
      <c r="D16" s="26"/>
      <c r="F16" s="31"/>
      <c r="G16" s="31"/>
      <c r="H16" s="31"/>
      <c r="I16" s="26"/>
    </row>
    <row r="17" spans="1:9" s="24" customFormat="1" x14ac:dyDescent="0.2">
      <c r="A17" s="32" t="s">
        <v>13</v>
      </c>
      <c r="B17" s="25"/>
      <c r="C17" s="27"/>
      <c r="D17" s="26"/>
      <c r="F17" s="31"/>
      <c r="G17" s="31"/>
      <c r="H17" s="31"/>
      <c r="I17" s="26"/>
    </row>
    <row r="18" spans="1:9" s="24" customFormat="1" x14ac:dyDescent="0.2">
      <c r="A18" s="20" t="s">
        <v>300</v>
      </c>
      <c r="B18" s="20"/>
      <c r="C18" s="20">
        <v>331.89</v>
      </c>
      <c r="D18" s="26"/>
      <c r="F18" s="26"/>
      <c r="G18" s="26"/>
      <c r="H18" s="26"/>
      <c r="I18" s="26"/>
    </row>
    <row r="19" spans="1:9" s="24" customFormat="1" x14ac:dyDescent="0.2">
      <c r="A19" s="20" t="s">
        <v>316</v>
      </c>
      <c r="B19" s="20"/>
      <c r="C19" s="21">
        <v>525</v>
      </c>
      <c r="D19" s="26"/>
      <c r="F19" s="26"/>
      <c r="G19" s="26"/>
      <c r="H19" s="68" t="s">
        <v>330</v>
      </c>
      <c r="I19" s="26"/>
    </row>
    <row r="20" spans="1:9" s="26" customFormat="1" x14ac:dyDescent="0.2">
      <c r="A20" s="20" t="s">
        <v>348</v>
      </c>
      <c r="B20" s="20"/>
      <c r="C20" s="21">
        <v>236.9</v>
      </c>
      <c r="H20" s="25">
        <f>(H8+H11)/2</f>
        <v>617.45000000000027</v>
      </c>
    </row>
    <row r="21" spans="1:9" s="26" customFormat="1" x14ac:dyDescent="0.2">
      <c r="A21" s="20" t="s">
        <v>315</v>
      </c>
      <c r="B21" s="20"/>
      <c r="C21" s="21">
        <v>311.55</v>
      </c>
    </row>
    <row r="22" spans="1:9" s="26" customFormat="1" x14ac:dyDescent="0.2">
      <c r="A22" s="20" t="s">
        <v>76</v>
      </c>
      <c r="B22" s="20"/>
      <c r="C22" s="21">
        <v>14.99</v>
      </c>
    </row>
    <row r="23" spans="1:9" s="24" customFormat="1" x14ac:dyDescent="0.2">
      <c r="A23" s="20" t="s">
        <v>311</v>
      </c>
      <c r="B23" s="20"/>
      <c r="C23" s="21">
        <v>37.450000000000003</v>
      </c>
      <c r="D23" s="26"/>
    </row>
    <row r="24" spans="1:9" s="24" customFormat="1" x14ac:dyDescent="0.2">
      <c r="A24" s="20" t="s">
        <v>79</v>
      </c>
      <c r="B24" s="20"/>
      <c r="C24" s="21">
        <v>142</v>
      </c>
      <c r="D24" s="26"/>
    </row>
    <row r="25" spans="1:9" s="26" customFormat="1" x14ac:dyDescent="0.2">
      <c r="A25" s="20" t="s">
        <v>349</v>
      </c>
      <c r="B25" s="20"/>
      <c r="C25" s="21">
        <v>236.9</v>
      </c>
    </row>
    <row r="26" spans="1:9" s="26" customFormat="1" x14ac:dyDescent="0.2">
      <c r="A26" s="20" t="s">
        <v>75</v>
      </c>
      <c r="B26" s="20"/>
      <c r="C26" s="21">
        <v>256.22000000000003</v>
      </c>
    </row>
    <row r="27" spans="1:9" s="26" customFormat="1" x14ac:dyDescent="0.2">
      <c r="A27" s="20" t="s">
        <v>78</v>
      </c>
      <c r="B27" s="20"/>
      <c r="C27" s="21">
        <v>71.77</v>
      </c>
      <c r="I27" s="24"/>
    </row>
    <row r="28" spans="1:9" s="26" customFormat="1" x14ac:dyDescent="0.2">
      <c r="A28" s="20" t="s">
        <v>267</v>
      </c>
      <c r="B28" s="20"/>
      <c r="C28" s="55">
        <v>26.13</v>
      </c>
      <c r="H28" s="24"/>
      <c r="I28" s="24"/>
    </row>
    <row r="29" spans="1:9" s="24" customFormat="1" x14ac:dyDescent="0.2">
      <c r="A29" s="20" t="s">
        <v>301</v>
      </c>
      <c r="B29" s="20"/>
      <c r="C29" s="55">
        <v>116.07</v>
      </c>
      <c r="D29" s="26"/>
      <c r="F29" s="26"/>
      <c r="G29" s="26"/>
    </row>
    <row r="30" spans="1:9" s="26" customFormat="1" x14ac:dyDescent="0.2">
      <c r="A30" s="20" t="s">
        <v>266</v>
      </c>
      <c r="B30" s="20"/>
      <c r="C30" s="21">
        <v>55.9</v>
      </c>
    </row>
    <row r="31" spans="1:9" s="26" customFormat="1" x14ac:dyDescent="0.2">
      <c r="A31" s="20" t="s">
        <v>302</v>
      </c>
      <c r="B31" s="20"/>
      <c r="C31" s="55">
        <v>145.74</v>
      </c>
    </row>
    <row r="32" spans="1:9" s="24" customFormat="1" x14ac:dyDescent="0.2">
      <c r="A32" s="14"/>
      <c r="B32" s="14"/>
      <c r="C32" s="14"/>
      <c r="D32" s="26"/>
      <c r="F32" s="26"/>
      <c r="G32" s="26"/>
      <c r="I32"/>
    </row>
    <row r="33" spans="1:9" s="24" customFormat="1" x14ac:dyDescent="0.2">
      <c r="A33"/>
      <c r="B33"/>
      <c r="C33"/>
      <c r="D33" s="26"/>
      <c r="F33" s="26"/>
      <c r="I33"/>
    </row>
    <row r="34" spans="1:9" s="24" customFormat="1" x14ac:dyDescent="0.2">
      <c r="A34" s="26"/>
      <c r="B34" s="26"/>
      <c r="C34"/>
      <c r="D34" s="26"/>
      <c r="F34" s="26"/>
      <c r="G34" s="26"/>
      <c r="I34" s="26"/>
    </row>
    <row r="35" spans="1:9" s="26" customFormat="1" x14ac:dyDescent="0.2">
      <c r="A35"/>
      <c r="B35"/>
    </row>
    <row r="36" spans="1:9" s="26" customFormat="1" x14ac:dyDescent="0.2">
      <c r="A36"/>
      <c r="B36"/>
      <c r="I36"/>
    </row>
    <row r="37" spans="1:9" x14ac:dyDescent="0.2">
      <c r="C37" s="26"/>
      <c r="F37" s="26"/>
      <c r="G37" s="26"/>
    </row>
    <row r="38" spans="1:9" x14ac:dyDescent="0.2">
      <c r="C38" s="26"/>
      <c r="F38" s="26"/>
      <c r="G38" s="26"/>
    </row>
    <row r="39" spans="1:9" s="26" customFormat="1" x14ac:dyDescent="0.2">
      <c r="A39"/>
      <c r="B39"/>
      <c r="C39"/>
      <c r="I39"/>
    </row>
    <row r="40" spans="1:9" s="26" customFormat="1" x14ac:dyDescent="0.2">
      <c r="A40"/>
      <c r="B40"/>
      <c r="C40"/>
      <c r="F40"/>
      <c r="I40"/>
    </row>
    <row r="41" spans="1:9" x14ac:dyDescent="0.2">
      <c r="G41" s="26"/>
    </row>
    <row r="42" spans="1:9" x14ac:dyDescent="0.2">
      <c r="F42" s="26"/>
    </row>
    <row r="43" spans="1:9" x14ac:dyDescent="0.2">
      <c r="F43" s="26"/>
    </row>
    <row r="45" spans="1:9" x14ac:dyDescent="0.2">
      <c r="A45" s="54"/>
      <c r="B45" s="44"/>
    </row>
    <row r="46" spans="1:9" x14ac:dyDescent="0.2">
      <c r="A46" s="54"/>
      <c r="B46" s="44"/>
    </row>
    <row r="47" spans="1:9" x14ac:dyDescent="0.2">
      <c r="A47" s="54"/>
      <c r="B47" s="44"/>
    </row>
    <row r="48" spans="1:9" x14ac:dyDescent="0.2">
      <c r="A48" s="54"/>
      <c r="B48" s="44"/>
    </row>
    <row r="49" spans="1:2" x14ac:dyDescent="0.2">
      <c r="A49" s="44"/>
      <c r="B49" s="44"/>
    </row>
    <row r="50" spans="1:2" x14ac:dyDescent="0.2">
      <c r="A50" s="26"/>
      <c r="B50" s="26"/>
    </row>
    <row r="51" spans="1:2" x14ac:dyDescent="0.2">
      <c r="A51" s="26"/>
      <c r="B51" s="26"/>
    </row>
    <row r="52" spans="1:2" x14ac:dyDescent="0.2">
      <c r="A52" s="26"/>
      <c r="B52" s="26"/>
    </row>
    <row r="53" spans="1:2" x14ac:dyDescent="0.2">
      <c r="A53" s="26"/>
      <c r="B53" s="26"/>
    </row>
    <row r="54" spans="1:2" x14ac:dyDescent="0.2">
      <c r="A54" s="26"/>
      <c r="B54" s="26"/>
    </row>
  </sheetData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57"/>
  <sheetViews>
    <sheetView workbookViewId="0">
      <selection activeCell="A30" sqref="A30:C30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5.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347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1950.48</v>
      </c>
      <c r="C3" s="51">
        <v>1950.48</v>
      </c>
      <c r="H3" s="26"/>
    </row>
    <row r="4" spans="1:11" x14ac:dyDescent="0.2">
      <c r="A4" s="26" t="s">
        <v>265</v>
      </c>
      <c r="B4">
        <v>1026.6500000000001</v>
      </c>
      <c r="C4">
        <v>1026.6500000000001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25"/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2977.13</v>
      </c>
      <c r="G8" s="27">
        <f>C9+C10+C11+C12+C13+C14+C15+C16+C17+C18</f>
        <v>2425.0499999999993</v>
      </c>
      <c r="H8" s="25">
        <f>F8-G8</f>
        <v>552.08000000000084</v>
      </c>
    </row>
    <row r="9" spans="1:11" s="24" customFormat="1" x14ac:dyDescent="0.2">
      <c r="A9" s="20" t="s">
        <v>293</v>
      </c>
      <c r="B9" s="20"/>
      <c r="C9" s="20">
        <v>1211.1099999999999</v>
      </c>
      <c r="D9" s="26"/>
      <c r="F9" s="31"/>
      <c r="G9" s="31"/>
      <c r="H9" s="67"/>
      <c r="I9" s="26"/>
    </row>
    <row r="10" spans="1:11" s="24" customFormat="1" x14ac:dyDescent="0.2">
      <c r="A10" s="20" t="s">
        <v>60</v>
      </c>
      <c r="B10" s="20"/>
      <c r="C10" s="20">
        <v>121.08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351</v>
      </c>
      <c r="B11" s="20"/>
      <c r="C11" s="21">
        <v>230.5</v>
      </c>
      <c r="D11" s="26"/>
      <c r="F11" s="33">
        <f>B3+B4</f>
        <v>2977.13</v>
      </c>
      <c r="G11" s="27">
        <f>C21+C22+C23+C24+C25+C26+C27+C28+C29+C30+C31+C32+C33+C34</f>
        <v>2492.1999999999998</v>
      </c>
      <c r="H11" s="25">
        <f>F11-G11</f>
        <v>484.93000000000029</v>
      </c>
      <c r="I11" s="26"/>
    </row>
    <row r="12" spans="1:11" s="24" customFormat="1" x14ac:dyDescent="0.2">
      <c r="A12" s="20" t="s">
        <v>320</v>
      </c>
      <c r="B12" s="20"/>
      <c r="C12" s="21">
        <v>152.83000000000001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321</v>
      </c>
      <c r="B13" s="20"/>
      <c r="C13" s="21">
        <v>214.58</v>
      </c>
      <c r="D13" s="26"/>
      <c r="F13" s="31"/>
      <c r="G13" s="31"/>
      <c r="H13" s="31"/>
    </row>
    <row r="14" spans="1:11" s="24" customFormat="1" x14ac:dyDescent="0.2">
      <c r="A14" s="20" t="s">
        <v>350</v>
      </c>
      <c r="B14" s="20"/>
      <c r="C14" s="21">
        <v>230.5</v>
      </c>
      <c r="D14" s="26"/>
      <c r="F14" s="31"/>
      <c r="G14" s="31"/>
      <c r="H14" s="31"/>
      <c r="I14" s="26"/>
    </row>
    <row r="15" spans="1:11" s="24" customFormat="1" x14ac:dyDescent="0.2">
      <c r="A15" s="20" t="s">
        <v>311</v>
      </c>
      <c r="B15" s="20"/>
      <c r="C15" s="21">
        <v>37.450000000000003</v>
      </c>
      <c r="D15" s="26"/>
      <c r="F15" s="31"/>
      <c r="G15" s="31"/>
      <c r="H15" s="31"/>
      <c r="I15" s="26"/>
    </row>
    <row r="16" spans="1:11" s="24" customFormat="1" x14ac:dyDescent="0.2">
      <c r="A16" s="20" t="s">
        <v>318</v>
      </c>
      <c r="B16" s="20"/>
      <c r="C16" s="21">
        <v>35</v>
      </c>
      <c r="D16" s="26"/>
      <c r="F16" s="31"/>
      <c r="G16" s="31"/>
      <c r="H16" s="31"/>
      <c r="I16" s="26"/>
    </row>
    <row r="17" spans="1:9" s="24" customFormat="1" x14ac:dyDescent="0.2">
      <c r="A17" s="20" t="s">
        <v>317</v>
      </c>
      <c r="B17" s="20"/>
      <c r="C17" s="21">
        <v>25</v>
      </c>
      <c r="D17" s="26"/>
      <c r="F17" s="31"/>
      <c r="G17" s="31"/>
      <c r="H17" s="31"/>
      <c r="I17" s="26"/>
    </row>
    <row r="18" spans="1:9" s="24" customFormat="1" x14ac:dyDescent="0.2">
      <c r="A18" s="20" t="s">
        <v>319</v>
      </c>
      <c r="B18" s="20"/>
      <c r="C18" s="21">
        <v>167</v>
      </c>
      <c r="D18" s="26"/>
      <c r="F18" s="26"/>
      <c r="G18" s="26"/>
      <c r="H18" s="26"/>
      <c r="I18" s="26"/>
    </row>
    <row r="19" spans="1:9" s="24" customFormat="1" x14ac:dyDescent="0.2">
      <c r="A19" s="29"/>
      <c r="B19" s="29"/>
      <c r="C19" s="30"/>
      <c r="D19" s="26"/>
      <c r="F19" s="26"/>
      <c r="G19" s="26"/>
      <c r="H19" s="68" t="s">
        <v>330</v>
      </c>
      <c r="I19" s="26"/>
    </row>
    <row r="20" spans="1:9" s="26" customFormat="1" x14ac:dyDescent="0.2">
      <c r="A20" s="32" t="s">
        <v>13</v>
      </c>
      <c r="B20" s="25"/>
      <c r="C20" s="27"/>
      <c r="H20" s="25">
        <f>(H8+H11)/2</f>
        <v>518.50500000000056</v>
      </c>
    </row>
    <row r="21" spans="1:9" s="26" customFormat="1" x14ac:dyDescent="0.2">
      <c r="A21" s="20" t="s">
        <v>300</v>
      </c>
      <c r="B21" s="20"/>
      <c r="C21" s="20">
        <v>331.89</v>
      </c>
    </row>
    <row r="22" spans="1:9" s="26" customFormat="1" x14ac:dyDescent="0.2">
      <c r="A22" s="20" t="s">
        <v>316</v>
      </c>
      <c r="B22" s="20"/>
      <c r="C22" s="21">
        <v>525</v>
      </c>
    </row>
    <row r="23" spans="1:9" s="24" customFormat="1" x14ac:dyDescent="0.2">
      <c r="A23" s="20" t="s">
        <v>348</v>
      </c>
      <c r="B23" s="20"/>
      <c r="C23" s="21">
        <v>230.5</v>
      </c>
      <c r="D23" s="26"/>
    </row>
    <row r="24" spans="1:9" s="24" customFormat="1" x14ac:dyDescent="0.2">
      <c r="A24" s="20" t="s">
        <v>315</v>
      </c>
      <c r="B24" s="20"/>
      <c r="C24" s="21">
        <v>311.55</v>
      </c>
      <c r="D24" s="26"/>
    </row>
    <row r="25" spans="1:9" s="26" customFormat="1" x14ac:dyDescent="0.2">
      <c r="A25" s="20" t="s">
        <v>76</v>
      </c>
      <c r="B25" s="20"/>
      <c r="C25" s="21">
        <v>14.99</v>
      </c>
    </row>
    <row r="26" spans="1:9" s="26" customFormat="1" x14ac:dyDescent="0.2">
      <c r="A26" s="20" t="s">
        <v>311</v>
      </c>
      <c r="B26" s="20"/>
      <c r="C26" s="21">
        <v>37.450000000000003</v>
      </c>
    </row>
    <row r="27" spans="1:9" s="26" customFormat="1" x14ac:dyDescent="0.2">
      <c r="A27" s="20" t="s">
        <v>79</v>
      </c>
      <c r="B27" s="20"/>
      <c r="C27" s="21">
        <v>142</v>
      </c>
      <c r="I27" s="24"/>
    </row>
    <row r="28" spans="1:9" s="26" customFormat="1" x14ac:dyDescent="0.2">
      <c r="A28" s="20" t="s">
        <v>349</v>
      </c>
      <c r="B28" s="20"/>
      <c r="C28" s="21">
        <v>236.9</v>
      </c>
      <c r="H28" s="24"/>
      <c r="I28" s="24"/>
    </row>
    <row r="29" spans="1:9" s="24" customFormat="1" x14ac:dyDescent="0.2">
      <c r="A29" s="20" t="s">
        <v>75</v>
      </c>
      <c r="B29" s="20"/>
      <c r="C29" s="21">
        <v>256.22000000000003</v>
      </c>
      <c r="D29" s="26"/>
      <c r="F29" s="26"/>
      <c r="G29" s="26"/>
    </row>
    <row r="30" spans="1:9" s="26" customFormat="1" x14ac:dyDescent="0.2">
      <c r="A30" s="20" t="s">
        <v>78</v>
      </c>
      <c r="B30" s="20"/>
      <c r="C30" s="21">
        <v>71.77</v>
      </c>
    </row>
    <row r="31" spans="1:9" s="26" customFormat="1" x14ac:dyDescent="0.2">
      <c r="A31" s="20" t="s">
        <v>267</v>
      </c>
      <c r="B31" s="20"/>
      <c r="C31" s="55">
        <v>30.45</v>
      </c>
    </row>
    <row r="32" spans="1:9" s="24" customFormat="1" x14ac:dyDescent="0.2">
      <c r="A32" s="20" t="s">
        <v>301</v>
      </c>
      <c r="B32" s="20"/>
      <c r="C32" s="55">
        <v>107.55</v>
      </c>
      <c r="D32" s="26"/>
      <c r="F32" s="26"/>
      <c r="G32" s="26"/>
      <c r="I32"/>
    </row>
    <row r="33" spans="1:9" s="24" customFormat="1" x14ac:dyDescent="0.2">
      <c r="A33" s="20" t="s">
        <v>266</v>
      </c>
      <c r="B33" s="20"/>
      <c r="C33" s="21">
        <v>56</v>
      </c>
      <c r="D33" s="26"/>
      <c r="F33" s="26"/>
      <c r="I33"/>
    </row>
    <row r="34" spans="1:9" s="24" customFormat="1" x14ac:dyDescent="0.2">
      <c r="A34" s="20" t="s">
        <v>302</v>
      </c>
      <c r="B34" s="20"/>
      <c r="C34" s="55">
        <v>139.93</v>
      </c>
      <c r="D34" s="26"/>
      <c r="F34" s="26"/>
      <c r="G34" s="26"/>
      <c r="I34" s="26"/>
    </row>
    <row r="35" spans="1:9" s="26" customFormat="1" x14ac:dyDescent="0.2">
      <c r="A35" s="14"/>
      <c r="B35" s="14"/>
      <c r="C35" s="14"/>
    </row>
    <row r="36" spans="1:9" s="26" customFormat="1" x14ac:dyDescent="0.2">
      <c r="A36"/>
      <c r="B36"/>
      <c r="C36"/>
      <c r="I36"/>
    </row>
    <row r="37" spans="1:9" x14ac:dyDescent="0.2">
      <c r="A37" s="26"/>
      <c r="B37" s="26"/>
      <c r="F37" s="26"/>
      <c r="G37" s="26"/>
    </row>
    <row r="38" spans="1:9" x14ac:dyDescent="0.2">
      <c r="C38" s="26"/>
      <c r="F38" s="26"/>
      <c r="G38" s="26"/>
    </row>
    <row r="39" spans="1:9" s="26" customFormat="1" x14ac:dyDescent="0.2">
      <c r="A39"/>
      <c r="B39"/>
      <c r="I39"/>
    </row>
    <row r="40" spans="1:9" s="26" customFormat="1" x14ac:dyDescent="0.2">
      <c r="A40"/>
      <c r="B40"/>
      <c r="F40"/>
      <c r="I40"/>
    </row>
    <row r="41" spans="1:9" x14ac:dyDescent="0.2">
      <c r="C41" s="26"/>
      <c r="G41" s="26"/>
    </row>
    <row r="42" spans="1:9" x14ac:dyDescent="0.2">
      <c r="F42" s="26"/>
    </row>
    <row r="43" spans="1:9" x14ac:dyDescent="0.2">
      <c r="F43" s="26"/>
    </row>
    <row r="48" spans="1:9" x14ac:dyDescent="0.2">
      <c r="A48" s="54"/>
      <c r="B48" s="44"/>
    </row>
    <row r="49" spans="1:2" x14ac:dyDescent="0.2">
      <c r="A49" s="54"/>
      <c r="B49" s="44"/>
    </row>
    <row r="50" spans="1:2" x14ac:dyDescent="0.2">
      <c r="A50" s="54"/>
      <c r="B50" s="44"/>
    </row>
    <row r="51" spans="1:2" x14ac:dyDescent="0.2">
      <c r="A51" s="54"/>
      <c r="B51" s="44"/>
    </row>
    <row r="52" spans="1:2" x14ac:dyDescent="0.2">
      <c r="A52" s="44"/>
      <c r="B52" s="44"/>
    </row>
    <row r="53" spans="1:2" x14ac:dyDescent="0.2">
      <c r="A53" s="26"/>
      <c r="B53" s="26"/>
    </row>
    <row r="54" spans="1:2" x14ac:dyDescent="0.2">
      <c r="A54" s="26"/>
      <c r="B54" s="26"/>
    </row>
    <row r="55" spans="1:2" x14ac:dyDescent="0.2">
      <c r="A55" s="26"/>
      <c r="B55" s="26"/>
    </row>
    <row r="56" spans="1:2" x14ac:dyDescent="0.2">
      <c r="A56" s="26"/>
      <c r="B56" s="26"/>
    </row>
    <row r="57" spans="1:2" x14ac:dyDescent="0.2">
      <c r="A57" s="26"/>
      <c r="B57" s="26"/>
    </row>
  </sheetData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K57"/>
  <sheetViews>
    <sheetView workbookViewId="0">
      <selection activeCell="A26" sqref="A26:C26"/>
    </sheetView>
  </sheetViews>
  <sheetFormatPr baseColWidth="10" defaultColWidth="8.83203125" defaultRowHeight="15" x14ac:dyDescent="0.2"/>
  <cols>
    <col min="1" max="1" width="44.5" bestFit="1" customWidth="1"/>
    <col min="2" max="2" width="59.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5.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346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1935.2</v>
      </c>
      <c r="C3" s="51">
        <v>1935.2</v>
      </c>
      <c r="H3" s="26"/>
    </row>
    <row r="4" spans="1:11" x14ac:dyDescent="0.2">
      <c r="A4" s="26" t="s">
        <v>265</v>
      </c>
      <c r="B4">
        <v>1002.82</v>
      </c>
      <c r="C4">
        <v>1002.82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25"/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33">
        <f>B3+B4</f>
        <v>2938.02</v>
      </c>
      <c r="G8" s="25">
        <v>2123</v>
      </c>
      <c r="H8" s="25">
        <f>F8-G8</f>
        <v>815.02</v>
      </c>
    </row>
    <row r="9" spans="1:11" s="24" customFormat="1" x14ac:dyDescent="0.2">
      <c r="A9" s="20" t="s">
        <v>293</v>
      </c>
      <c r="B9" s="20"/>
      <c r="C9" s="20">
        <v>1211.1099999999999</v>
      </c>
      <c r="D9" s="26"/>
      <c r="F9" s="31"/>
      <c r="G9" s="31"/>
      <c r="H9" s="67"/>
      <c r="I9" s="26"/>
    </row>
    <row r="10" spans="1:11" s="24" customFormat="1" x14ac:dyDescent="0.2">
      <c r="A10" s="20" t="s">
        <v>60</v>
      </c>
      <c r="B10" s="20"/>
      <c r="C10" s="20">
        <v>121.08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292</v>
      </c>
      <c r="B11" s="20"/>
      <c r="C11" s="21">
        <v>118</v>
      </c>
      <c r="D11" s="26"/>
      <c r="F11" s="25">
        <v>2808</v>
      </c>
      <c r="G11" s="25">
        <v>2230</v>
      </c>
      <c r="H11" s="25">
        <f>F11-G11</f>
        <v>578</v>
      </c>
      <c r="I11" s="26"/>
    </row>
    <row r="12" spans="1:11" s="24" customFormat="1" x14ac:dyDescent="0.2">
      <c r="A12" s="20" t="s">
        <v>320</v>
      </c>
      <c r="B12" s="20"/>
      <c r="C12" s="21">
        <v>152.83000000000001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321</v>
      </c>
      <c r="B13" s="20"/>
      <c r="C13" s="21">
        <v>214.58</v>
      </c>
      <c r="D13" s="26"/>
      <c r="F13" s="31"/>
      <c r="G13" s="31"/>
      <c r="H13" s="31"/>
    </row>
    <row r="14" spans="1:11" s="24" customFormat="1" x14ac:dyDescent="0.2">
      <c r="A14" s="20" t="s">
        <v>291</v>
      </c>
      <c r="B14" s="20"/>
      <c r="C14" s="21">
        <v>118</v>
      </c>
      <c r="D14" s="26"/>
      <c r="F14" s="31"/>
      <c r="G14" s="31"/>
      <c r="H14" s="31"/>
      <c r="I14" s="26"/>
    </row>
    <row r="15" spans="1:11" s="24" customFormat="1" x14ac:dyDescent="0.2">
      <c r="A15" s="20" t="s">
        <v>311</v>
      </c>
      <c r="B15" s="20"/>
      <c r="C15" s="21">
        <v>37.450000000000003</v>
      </c>
      <c r="D15" s="26"/>
      <c r="F15" s="31"/>
      <c r="G15" s="31"/>
      <c r="H15" s="31"/>
      <c r="I15" s="26"/>
    </row>
    <row r="16" spans="1:11" s="24" customFormat="1" x14ac:dyDescent="0.2">
      <c r="A16" s="20" t="s">
        <v>318</v>
      </c>
      <c r="B16" s="20"/>
      <c r="C16" s="21">
        <v>26</v>
      </c>
      <c r="D16" s="26"/>
      <c r="F16" s="31"/>
      <c r="G16" s="31"/>
      <c r="H16" s="31"/>
      <c r="I16" s="26"/>
    </row>
    <row r="17" spans="1:9" s="24" customFormat="1" x14ac:dyDescent="0.2">
      <c r="A17" s="20" t="s">
        <v>317</v>
      </c>
      <c r="B17" s="20"/>
      <c r="C17" s="21">
        <v>25</v>
      </c>
      <c r="D17" s="26"/>
      <c r="F17" s="31"/>
      <c r="G17" s="31"/>
      <c r="H17" s="31"/>
      <c r="I17" s="26"/>
    </row>
    <row r="18" spans="1:9" s="24" customFormat="1" x14ac:dyDescent="0.2">
      <c r="A18" s="20" t="s">
        <v>319</v>
      </c>
      <c r="B18" s="20"/>
      <c r="C18" s="21">
        <v>139</v>
      </c>
      <c r="D18" s="26"/>
      <c r="F18" s="68" t="s">
        <v>327</v>
      </c>
      <c r="G18" s="68" t="s">
        <v>328</v>
      </c>
      <c r="H18" s="68" t="s">
        <v>322</v>
      </c>
      <c r="I18" s="26"/>
    </row>
    <row r="19" spans="1:9" s="24" customFormat="1" x14ac:dyDescent="0.2">
      <c r="A19" s="29"/>
      <c r="B19" s="29"/>
      <c r="C19" s="30"/>
      <c r="D19" s="26"/>
      <c r="F19" s="25">
        <f>H8</f>
        <v>815.02</v>
      </c>
      <c r="G19" s="25">
        <v>239</v>
      </c>
      <c r="H19" s="25">
        <f>F19-G19</f>
        <v>576.02</v>
      </c>
      <c r="I19" s="26"/>
    </row>
    <row r="20" spans="1:9" s="26" customFormat="1" x14ac:dyDescent="0.2">
      <c r="A20" s="32" t="s">
        <v>13</v>
      </c>
      <c r="B20" s="25"/>
      <c r="C20" s="27"/>
      <c r="F20" s="31"/>
      <c r="G20" s="31"/>
      <c r="H20" s="31"/>
    </row>
    <row r="21" spans="1:9" s="26" customFormat="1" x14ac:dyDescent="0.2">
      <c r="A21" s="20" t="s">
        <v>300</v>
      </c>
      <c r="B21" s="20"/>
      <c r="C21" s="20">
        <v>331.89</v>
      </c>
      <c r="F21" s="68" t="s">
        <v>329</v>
      </c>
      <c r="G21" s="68" t="s">
        <v>328</v>
      </c>
      <c r="H21" s="68" t="s">
        <v>322</v>
      </c>
    </row>
    <row r="22" spans="1:9" s="26" customFormat="1" x14ac:dyDescent="0.2">
      <c r="A22" s="20" t="s">
        <v>316</v>
      </c>
      <c r="B22" s="20"/>
      <c r="C22" s="21">
        <v>525</v>
      </c>
      <c r="F22" s="25">
        <f>H11</f>
        <v>578</v>
      </c>
      <c r="G22" s="25">
        <v>239</v>
      </c>
      <c r="H22" s="25">
        <f>F22-G22</f>
        <v>339</v>
      </c>
    </row>
    <row r="23" spans="1:9" s="24" customFormat="1" x14ac:dyDescent="0.2">
      <c r="A23" s="20" t="s">
        <v>295</v>
      </c>
      <c r="B23" s="20"/>
      <c r="C23" s="21">
        <v>118</v>
      </c>
      <c r="D23" s="26"/>
    </row>
    <row r="24" spans="1:9" s="24" customFormat="1" x14ac:dyDescent="0.2">
      <c r="A24" s="20" t="s">
        <v>315</v>
      </c>
      <c r="B24" s="20"/>
      <c r="C24" s="21">
        <v>311.55</v>
      </c>
      <c r="D24" s="26"/>
    </row>
    <row r="25" spans="1:9" s="26" customFormat="1" x14ac:dyDescent="0.2">
      <c r="A25" s="20" t="s">
        <v>76</v>
      </c>
      <c r="B25" s="20"/>
      <c r="C25" s="21">
        <v>14.99</v>
      </c>
      <c r="H25" s="68" t="s">
        <v>330</v>
      </c>
    </row>
    <row r="26" spans="1:9" s="26" customFormat="1" x14ac:dyDescent="0.2">
      <c r="A26" s="20" t="s">
        <v>311</v>
      </c>
      <c r="B26" s="20"/>
      <c r="C26" s="21">
        <v>37.450000000000003</v>
      </c>
      <c r="H26" s="25">
        <f>(H19+H22)/2</f>
        <v>457.51</v>
      </c>
    </row>
    <row r="27" spans="1:9" s="26" customFormat="1" x14ac:dyDescent="0.2">
      <c r="A27" s="20" t="s">
        <v>79</v>
      </c>
      <c r="B27" s="20"/>
      <c r="C27" s="21">
        <v>142</v>
      </c>
      <c r="I27" s="24"/>
    </row>
    <row r="28" spans="1:9" s="26" customFormat="1" x14ac:dyDescent="0.2">
      <c r="A28" s="20" t="s">
        <v>290</v>
      </c>
      <c r="B28" s="20"/>
      <c r="C28" s="21">
        <v>118</v>
      </c>
      <c r="H28" s="24"/>
      <c r="I28" s="24"/>
    </row>
    <row r="29" spans="1:9" s="24" customFormat="1" x14ac:dyDescent="0.2">
      <c r="A29" s="20" t="s">
        <v>75</v>
      </c>
      <c r="B29" s="20"/>
      <c r="C29" s="21">
        <v>256.22000000000003</v>
      </c>
      <c r="D29" s="26"/>
      <c r="F29" s="26"/>
      <c r="G29" s="26"/>
    </row>
    <row r="30" spans="1:9" s="26" customFormat="1" x14ac:dyDescent="0.2">
      <c r="A30" s="20" t="s">
        <v>78</v>
      </c>
      <c r="B30" s="20"/>
      <c r="C30" s="21">
        <v>71.77</v>
      </c>
    </row>
    <row r="31" spans="1:9" s="26" customFormat="1" x14ac:dyDescent="0.2">
      <c r="A31" s="20" t="s">
        <v>267</v>
      </c>
      <c r="B31" s="20"/>
      <c r="C31" s="55">
        <v>36</v>
      </c>
    </row>
    <row r="32" spans="1:9" s="24" customFormat="1" x14ac:dyDescent="0.2">
      <c r="A32" s="20" t="s">
        <v>301</v>
      </c>
      <c r="B32" s="20"/>
      <c r="C32" s="55">
        <v>116</v>
      </c>
      <c r="D32" s="26"/>
      <c r="F32" s="26"/>
      <c r="G32" s="26"/>
      <c r="I32"/>
    </row>
    <row r="33" spans="1:9" s="24" customFormat="1" x14ac:dyDescent="0.2">
      <c r="A33" s="20" t="s">
        <v>266</v>
      </c>
      <c r="B33" s="20"/>
      <c r="C33" s="21">
        <v>56</v>
      </c>
      <c r="D33" s="26"/>
      <c r="F33" s="26"/>
      <c r="I33"/>
    </row>
    <row r="34" spans="1:9" s="24" customFormat="1" x14ac:dyDescent="0.2">
      <c r="A34" s="20" t="s">
        <v>302</v>
      </c>
      <c r="B34" s="20"/>
      <c r="C34" s="55">
        <v>141.07</v>
      </c>
      <c r="D34" s="26"/>
      <c r="F34" s="26"/>
      <c r="G34" s="26"/>
      <c r="I34" s="26"/>
    </row>
    <row r="35" spans="1:9" s="26" customFormat="1" x14ac:dyDescent="0.2">
      <c r="A35" s="14"/>
      <c r="B35" s="14"/>
      <c r="C35" s="14"/>
    </row>
    <row r="36" spans="1:9" s="26" customFormat="1" x14ac:dyDescent="0.2">
      <c r="A36"/>
      <c r="B36"/>
      <c r="C36"/>
      <c r="I36"/>
    </row>
    <row r="37" spans="1:9" x14ac:dyDescent="0.2">
      <c r="F37" s="26"/>
      <c r="G37" s="26"/>
    </row>
    <row r="38" spans="1:9" x14ac:dyDescent="0.2">
      <c r="C38" s="26"/>
      <c r="F38" s="26"/>
      <c r="G38" s="26"/>
    </row>
    <row r="39" spans="1:9" s="26" customFormat="1" x14ac:dyDescent="0.2">
      <c r="A39"/>
      <c r="B39"/>
      <c r="I39"/>
    </row>
    <row r="40" spans="1:9" s="26" customFormat="1" x14ac:dyDescent="0.2">
      <c r="A40"/>
      <c r="B40"/>
      <c r="F40"/>
      <c r="I40"/>
    </row>
    <row r="41" spans="1:9" x14ac:dyDescent="0.2">
      <c r="C41" s="26"/>
      <c r="G41" s="26"/>
    </row>
    <row r="42" spans="1:9" x14ac:dyDescent="0.2">
      <c r="F42" s="26"/>
    </row>
    <row r="43" spans="1:9" x14ac:dyDescent="0.2">
      <c r="F43" s="26"/>
    </row>
    <row r="48" spans="1:9" x14ac:dyDescent="0.2">
      <c r="A48" s="54"/>
      <c r="B48" s="44"/>
    </row>
    <row r="49" spans="1:2" x14ac:dyDescent="0.2">
      <c r="A49" s="54"/>
      <c r="B49" s="44"/>
    </row>
    <row r="50" spans="1:2" x14ac:dyDescent="0.2">
      <c r="A50" s="54"/>
      <c r="B50" s="44"/>
    </row>
    <row r="51" spans="1:2" x14ac:dyDescent="0.2">
      <c r="A51" s="54"/>
      <c r="B51" s="44"/>
    </row>
    <row r="52" spans="1:2" x14ac:dyDescent="0.2">
      <c r="A52" s="44"/>
      <c r="B52" s="44"/>
    </row>
    <row r="53" spans="1:2" x14ac:dyDescent="0.2">
      <c r="A53" s="26"/>
      <c r="B53" s="26"/>
    </row>
    <row r="54" spans="1:2" x14ac:dyDescent="0.2">
      <c r="A54" s="26"/>
      <c r="B54" s="26"/>
    </row>
    <row r="55" spans="1:2" x14ac:dyDescent="0.2">
      <c r="A55" s="26"/>
      <c r="B55" s="26"/>
    </row>
    <row r="56" spans="1:2" x14ac:dyDescent="0.2">
      <c r="A56" s="26"/>
      <c r="B56" s="26"/>
    </row>
    <row r="57" spans="1:2" x14ac:dyDescent="0.2">
      <c r="A57" s="26"/>
      <c r="B57" s="26"/>
    </row>
  </sheetData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K57"/>
  <sheetViews>
    <sheetView workbookViewId="0">
      <selection activeCell="A21" sqref="A21:C21"/>
    </sheetView>
  </sheetViews>
  <sheetFormatPr baseColWidth="10" defaultColWidth="8.83203125" defaultRowHeight="15" x14ac:dyDescent="0.2"/>
  <cols>
    <col min="1" max="1" width="44.5" bestFit="1" customWidth="1"/>
    <col min="2" max="2" width="16.164062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5.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334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1824.99</v>
      </c>
      <c r="C3" s="51">
        <v>1824.99</v>
      </c>
      <c r="H3" s="26"/>
    </row>
    <row r="4" spans="1:11" x14ac:dyDescent="0.2">
      <c r="A4" s="26" t="s">
        <v>265</v>
      </c>
      <c r="B4">
        <v>982.82</v>
      </c>
      <c r="C4">
        <v>982.82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25"/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25">
        <v>2808</v>
      </c>
      <c r="G8" s="25">
        <v>2123</v>
      </c>
      <c r="H8" s="25">
        <f>F8-G8</f>
        <v>685</v>
      </c>
    </row>
    <row r="9" spans="1:11" s="24" customFormat="1" x14ac:dyDescent="0.2">
      <c r="A9" s="20" t="s">
        <v>293</v>
      </c>
      <c r="B9" s="20"/>
      <c r="C9" s="20">
        <v>1211.1099999999999</v>
      </c>
      <c r="D9" s="26"/>
      <c r="F9" s="31"/>
      <c r="G9" s="31"/>
      <c r="H9" s="67"/>
      <c r="I9" s="26"/>
    </row>
    <row r="10" spans="1:11" s="24" customFormat="1" x14ac:dyDescent="0.2">
      <c r="A10" s="20" t="s">
        <v>60</v>
      </c>
      <c r="B10" s="20"/>
      <c r="C10" s="20">
        <v>128.13999999999999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292</v>
      </c>
      <c r="B11" s="20"/>
      <c r="C11" s="21">
        <v>118</v>
      </c>
      <c r="D11" s="26"/>
      <c r="F11" s="25">
        <v>2808</v>
      </c>
      <c r="G11" s="25">
        <v>2230</v>
      </c>
      <c r="H11" s="25">
        <f>F11-G11</f>
        <v>578</v>
      </c>
      <c r="I11" s="26"/>
    </row>
    <row r="12" spans="1:11" s="24" customFormat="1" x14ac:dyDescent="0.2">
      <c r="A12" s="20" t="s">
        <v>320</v>
      </c>
      <c r="B12" s="20"/>
      <c r="C12" s="21">
        <v>152.83000000000001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321</v>
      </c>
      <c r="B13" s="20"/>
      <c r="C13" s="21">
        <v>214.58</v>
      </c>
      <c r="D13" s="26"/>
      <c r="F13" s="31"/>
      <c r="G13" s="31"/>
      <c r="H13" s="31"/>
    </row>
    <row r="14" spans="1:11" s="24" customFormat="1" x14ac:dyDescent="0.2">
      <c r="A14" s="20" t="s">
        <v>291</v>
      </c>
      <c r="B14" s="20"/>
      <c r="C14" s="21">
        <v>118</v>
      </c>
      <c r="D14" s="26"/>
      <c r="F14" s="31"/>
      <c r="G14" s="31"/>
      <c r="H14" s="31"/>
      <c r="I14" s="26"/>
    </row>
    <row r="15" spans="1:11" s="24" customFormat="1" x14ac:dyDescent="0.2">
      <c r="A15" s="20" t="s">
        <v>311</v>
      </c>
      <c r="B15" s="20"/>
      <c r="C15" s="21">
        <v>37.450000000000003</v>
      </c>
      <c r="D15" s="26"/>
      <c r="F15" s="31"/>
      <c r="G15" s="31"/>
      <c r="H15" s="31"/>
      <c r="I15" s="26"/>
    </row>
    <row r="16" spans="1:11" s="24" customFormat="1" x14ac:dyDescent="0.2">
      <c r="A16" s="20" t="s">
        <v>318</v>
      </c>
      <c r="B16" s="20"/>
      <c r="C16" s="21">
        <v>26</v>
      </c>
      <c r="D16" s="26"/>
      <c r="F16" s="31"/>
      <c r="G16" s="31"/>
      <c r="H16" s="31"/>
      <c r="I16" s="26"/>
    </row>
    <row r="17" spans="1:9" s="24" customFormat="1" x14ac:dyDescent="0.2">
      <c r="A17" s="20" t="s">
        <v>317</v>
      </c>
      <c r="B17" s="20"/>
      <c r="C17" s="21">
        <v>25</v>
      </c>
      <c r="D17" s="26"/>
      <c r="F17" s="31"/>
      <c r="G17" s="31"/>
      <c r="H17" s="31"/>
      <c r="I17" s="26"/>
    </row>
    <row r="18" spans="1:9" s="24" customFormat="1" x14ac:dyDescent="0.2">
      <c r="A18" s="20" t="s">
        <v>319</v>
      </c>
      <c r="B18" s="20"/>
      <c r="C18" s="21">
        <v>137</v>
      </c>
      <c r="D18" s="26"/>
      <c r="F18" s="68" t="s">
        <v>327</v>
      </c>
      <c r="G18" s="68" t="s">
        <v>328</v>
      </c>
      <c r="H18" s="68" t="s">
        <v>322</v>
      </c>
      <c r="I18" s="26"/>
    </row>
    <row r="19" spans="1:9" s="24" customFormat="1" x14ac:dyDescent="0.2">
      <c r="A19" s="29"/>
      <c r="B19" s="29"/>
      <c r="C19" s="30"/>
      <c r="D19" s="26"/>
      <c r="F19" s="25">
        <f>H8</f>
        <v>685</v>
      </c>
      <c r="G19" s="25">
        <v>239</v>
      </c>
      <c r="H19" s="25">
        <f>F19-G19</f>
        <v>446</v>
      </c>
      <c r="I19" s="26"/>
    </row>
    <row r="20" spans="1:9" s="26" customFormat="1" x14ac:dyDescent="0.2">
      <c r="A20" s="32" t="s">
        <v>13</v>
      </c>
      <c r="B20" s="25"/>
      <c r="C20" s="27"/>
      <c r="F20" s="31"/>
      <c r="G20" s="31"/>
      <c r="H20" s="31"/>
    </row>
    <row r="21" spans="1:9" s="26" customFormat="1" x14ac:dyDescent="0.2">
      <c r="A21" s="20" t="s">
        <v>300</v>
      </c>
      <c r="B21" s="20"/>
      <c r="C21" s="20">
        <v>331.89</v>
      </c>
      <c r="F21" s="68" t="s">
        <v>329</v>
      </c>
      <c r="G21" s="68" t="s">
        <v>328</v>
      </c>
      <c r="H21" s="68" t="s">
        <v>322</v>
      </c>
    </row>
    <row r="22" spans="1:9" s="26" customFormat="1" x14ac:dyDescent="0.2">
      <c r="A22" s="20" t="s">
        <v>316</v>
      </c>
      <c r="B22" s="20"/>
      <c r="C22" s="21">
        <v>525</v>
      </c>
      <c r="F22" s="25">
        <f>H11</f>
        <v>578</v>
      </c>
      <c r="G22" s="25">
        <v>239</v>
      </c>
      <c r="H22" s="25">
        <f>F22-G22</f>
        <v>339</v>
      </c>
    </row>
    <row r="23" spans="1:9" s="24" customFormat="1" x14ac:dyDescent="0.2">
      <c r="A23" s="20" t="s">
        <v>295</v>
      </c>
      <c r="B23" s="20"/>
      <c r="C23" s="21">
        <v>118</v>
      </c>
      <c r="D23" s="26"/>
    </row>
    <row r="24" spans="1:9" s="24" customFormat="1" x14ac:dyDescent="0.2">
      <c r="A24" s="20" t="s">
        <v>315</v>
      </c>
      <c r="B24" s="20"/>
      <c r="C24" s="21">
        <v>311.55</v>
      </c>
      <c r="D24" s="26"/>
    </row>
    <row r="25" spans="1:9" s="26" customFormat="1" x14ac:dyDescent="0.2">
      <c r="A25" s="20" t="s">
        <v>76</v>
      </c>
      <c r="B25" s="20"/>
      <c r="C25" s="21">
        <v>14.99</v>
      </c>
      <c r="H25" s="68" t="s">
        <v>330</v>
      </c>
    </row>
    <row r="26" spans="1:9" s="26" customFormat="1" x14ac:dyDescent="0.2">
      <c r="A26" s="20" t="s">
        <v>311</v>
      </c>
      <c r="B26" s="20"/>
      <c r="C26" s="21">
        <v>37.450000000000003</v>
      </c>
      <c r="H26" s="25">
        <f>(H19+H22)/2</f>
        <v>392.5</v>
      </c>
    </row>
    <row r="27" spans="1:9" s="26" customFormat="1" x14ac:dyDescent="0.2">
      <c r="A27" s="20" t="s">
        <v>79</v>
      </c>
      <c r="B27" s="20"/>
      <c r="C27" s="21">
        <v>142</v>
      </c>
      <c r="F27" s="26" t="s">
        <v>345</v>
      </c>
      <c r="I27" s="24"/>
    </row>
    <row r="28" spans="1:9" s="26" customFormat="1" x14ac:dyDescent="0.2">
      <c r="A28" s="20" t="s">
        <v>290</v>
      </c>
      <c r="B28" s="20"/>
      <c r="C28" s="21">
        <v>118</v>
      </c>
      <c r="F28" s="26" t="s">
        <v>332</v>
      </c>
      <c r="H28" s="24"/>
      <c r="I28" s="24"/>
    </row>
    <row r="29" spans="1:9" s="24" customFormat="1" x14ac:dyDescent="0.2">
      <c r="A29" s="20" t="s">
        <v>75</v>
      </c>
      <c r="B29" s="20"/>
      <c r="C29" s="21">
        <v>256.22000000000003</v>
      </c>
      <c r="D29" s="26"/>
      <c r="F29" s="26" t="s">
        <v>333</v>
      </c>
      <c r="G29" s="26"/>
    </row>
    <row r="30" spans="1:9" s="26" customFormat="1" x14ac:dyDescent="0.2">
      <c r="A30" s="20" t="s">
        <v>78</v>
      </c>
      <c r="B30" s="20"/>
      <c r="C30" s="21">
        <v>71.77</v>
      </c>
    </row>
    <row r="31" spans="1:9" s="26" customFormat="1" x14ac:dyDescent="0.2">
      <c r="A31" s="20" t="s">
        <v>267</v>
      </c>
      <c r="B31" s="20"/>
      <c r="C31" s="55">
        <v>26.13</v>
      </c>
    </row>
    <row r="32" spans="1:9" s="24" customFormat="1" x14ac:dyDescent="0.2">
      <c r="A32" s="20" t="s">
        <v>301</v>
      </c>
      <c r="B32" s="20"/>
      <c r="C32" s="55">
        <v>116</v>
      </c>
      <c r="D32" s="26"/>
      <c r="F32" s="26"/>
      <c r="G32" s="26"/>
      <c r="I32"/>
    </row>
    <row r="33" spans="1:9" s="24" customFormat="1" x14ac:dyDescent="0.2">
      <c r="A33" s="20" t="s">
        <v>266</v>
      </c>
      <c r="B33" s="20"/>
      <c r="C33" s="21">
        <v>55.9</v>
      </c>
      <c r="D33" s="26"/>
      <c r="F33" s="26"/>
      <c r="G33" s="26"/>
      <c r="I33"/>
    </row>
    <row r="34" spans="1:9" s="24" customFormat="1" x14ac:dyDescent="0.2">
      <c r="A34" s="20" t="s">
        <v>302</v>
      </c>
      <c r="B34" s="20"/>
      <c r="C34" s="55">
        <v>144.02000000000001</v>
      </c>
      <c r="D34" s="26"/>
      <c r="F34" s="26"/>
      <c r="G34" s="26"/>
      <c r="I34" s="26"/>
    </row>
    <row r="35" spans="1:9" s="26" customFormat="1" x14ac:dyDescent="0.2">
      <c r="A35" s="14"/>
      <c r="B35" s="14"/>
      <c r="C35" s="14"/>
    </row>
    <row r="36" spans="1:9" s="26" customFormat="1" x14ac:dyDescent="0.2">
      <c r="A36"/>
      <c r="B36"/>
      <c r="C36"/>
      <c r="I36"/>
    </row>
    <row r="37" spans="1:9" x14ac:dyDescent="0.2">
      <c r="A37" s="26"/>
      <c r="B37" s="26"/>
      <c r="F37" s="26"/>
      <c r="G37" s="26"/>
    </row>
    <row r="38" spans="1:9" x14ac:dyDescent="0.2">
      <c r="A38" s="26">
        <v>2461.14</v>
      </c>
      <c r="B38" s="26"/>
      <c r="C38" s="26"/>
      <c r="F38" s="26"/>
      <c r="G38" s="26"/>
    </row>
    <row r="39" spans="1:9" s="26" customFormat="1" x14ac:dyDescent="0.2">
      <c r="I39"/>
    </row>
    <row r="40" spans="1:9" s="26" customFormat="1" x14ac:dyDescent="0.2">
      <c r="F40"/>
      <c r="I40"/>
    </row>
    <row r="41" spans="1:9" x14ac:dyDescent="0.2">
      <c r="A41" s="26"/>
      <c r="B41" s="26"/>
      <c r="C41" s="26"/>
      <c r="G41" s="26"/>
    </row>
    <row r="42" spans="1:9" x14ac:dyDescent="0.2">
      <c r="A42" s="26"/>
      <c r="B42" s="44"/>
      <c r="F42" s="26"/>
    </row>
    <row r="43" spans="1:9" x14ac:dyDescent="0.2">
      <c r="A43" s="26"/>
      <c r="B43" s="44"/>
      <c r="F43" s="26"/>
    </row>
    <row r="44" spans="1:9" x14ac:dyDescent="0.2">
      <c r="A44" s="26"/>
      <c r="B44" s="44"/>
    </row>
    <row r="45" spans="1:9" x14ac:dyDescent="0.2">
      <c r="A45" s="54"/>
      <c r="B45" s="44"/>
    </row>
    <row r="46" spans="1:9" x14ac:dyDescent="0.2">
      <c r="A46" s="54"/>
      <c r="B46" s="44"/>
    </row>
    <row r="47" spans="1:9" x14ac:dyDescent="0.2">
      <c r="A47" s="54"/>
      <c r="B47" s="44"/>
    </row>
    <row r="48" spans="1:9" x14ac:dyDescent="0.2">
      <c r="A48" s="54"/>
      <c r="B48" s="44"/>
    </row>
    <row r="49" spans="1:2" x14ac:dyDescent="0.2">
      <c r="A49" s="54"/>
      <c r="B49" s="44"/>
    </row>
    <row r="50" spans="1:2" x14ac:dyDescent="0.2">
      <c r="A50" s="54"/>
      <c r="B50" s="44"/>
    </row>
    <row r="51" spans="1:2" x14ac:dyDescent="0.2">
      <c r="A51" s="54"/>
      <c r="B51" s="44"/>
    </row>
    <row r="52" spans="1:2" x14ac:dyDescent="0.2">
      <c r="A52" s="44"/>
      <c r="B52" s="44"/>
    </row>
    <row r="53" spans="1:2" x14ac:dyDescent="0.2">
      <c r="A53" s="26"/>
      <c r="B53" s="26"/>
    </row>
    <row r="54" spans="1:2" x14ac:dyDescent="0.2">
      <c r="A54" s="26"/>
      <c r="B54" s="26"/>
    </row>
    <row r="55" spans="1:2" x14ac:dyDescent="0.2">
      <c r="A55" s="26"/>
      <c r="B55" s="26"/>
    </row>
    <row r="56" spans="1:2" x14ac:dyDescent="0.2">
      <c r="A56" s="26"/>
      <c r="B56" s="26"/>
    </row>
    <row r="57" spans="1:2" x14ac:dyDescent="0.2">
      <c r="A57" s="26"/>
      <c r="B57" s="26"/>
    </row>
  </sheetData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K57"/>
  <sheetViews>
    <sheetView workbookViewId="0">
      <selection activeCell="E22" sqref="E22"/>
    </sheetView>
  </sheetViews>
  <sheetFormatPr baseColWidth="10" defaultColWidth="8.83203125" defaultRowHeight="15" x14ac:dyDescent="0.2"/>
  <cols>
    <col min="1" max="1" width="44.5" bestFit="1" customWidth="1"/>
    <col min="2" max="2" width="16.1640625" bestFit="1" customWidth="1"/>
    <col min="3" max="3" width="19.3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5.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331</v>
      </c>
    </row>
    <row r="2" spans="1:11" x14ac:dyDescent="0.2">
      <c r="A2" s="56" t="s">
        <v>261</v>
      </c>
      <c r="B2" s="57" t="s">
        <v>263</v>
      </c>
      <c r="C2" s="56" t="s">
        <v>264</v>
      </c>
      <c r="H2" s="40"/>
    </row>
    <row r="3" spans="1:11" x14ac:dyDescent="0.2">
      <c r="A3" s="26" t="s">
        <v>262</v>
      </c>
      <c r="B3" s="51">
        <v>1824.99</v>
      </c>
      <c r="C3" s="51">
        <v>1824.99</v>
      </c>
      <c r="H3" s="26"/>
    </row>
    <row r="4" spans="1:11" x14ac:dyDescent="0.2">
      <c r="A4" s="26" t="s">
        <v>265</v>
      </c>
      <c r="B4">
        <v>982.82</v>
      </c>
      <c r="C4">
        <v>982.82</v>
      </c>
      <c r="H4" s="26"/>
    </row>
    <row r="5" spans="1:11" s="26" customFormat="1" x14ac:dyDescent="0.2">
      <c r="A5" s="43"/>
      <c r="B5" s="43"/>
      <c r="C5" s="43"/>
      <c r="D5"/>
      <c r="E5"/>
    </row>
    <row r="6" spans="1:11" s="26" customFormat="1" x14ac:dyDescent="0.2">
      <c r="A6" s="43"/>
      <c r="B6" s="43"/>
      <c r="C6" s="43"/>
      <c r="D6"/>
      <c r="E6"/>
      <c r="H6" s="44"/>
    </row>
    <row r="7" spans="1:11" s="26" customFormat="1" x14ac:dyDescent="0.2">
      <c r="A7" s="32" t="s">
        <v>1</v>
      </c>
      <c r="B7" s="25"/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25">
        <v>2808</v>
      </c>
      <c r="G8" s="25">
        <v>2123</v>
      </c>
      <c r="H8" s="25">
        <f>F8-G8</f>
        <v>685</v>
      </c>
    </row>
    <row r="9" spans="1:11" s="24" customFormat="1" x14ac:dyDescent="0.2">
      <c r="A9" s="20" t="s">
        <v>293</v>
      </c>
      <c r="B9" s="20"/>
      <c r="C9" s="20">
        <v>1211.1099999999999</v>
      </c>
      <c r="D9" s="26"/>
      <c r="F9" s="31"/>
      <c r="G9" s="31"/>
      <c r="H9" s="67"/>
      <c r="I9" s="26"/>
    </row>
    <row r="10" spans="1:11" s="24" customFormat="1" x14ac:dyDescent="0.2">
      <c r="A10" s="20" t="s">
        <v>60</v>
      </c>
      <c r="B10" s="20"/>
      <c r="C10" s="20">
        <v>128.13999999999999</v>
      </c>
      <c r="D10" s="26"/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292</v>
      </c>
      <c r="B11" s="20"/>
      <c r="C11" s="21">
        <v>118</v>
      </c>
      <c r="D11" s="26"/>
      <c r="F11" s="25">
        <v>2808</v>
      </c>
      <c r="G11" s="25">
        <v>2230</v>
      </c>
      <c r="H11" s="25">
        <f>F11-G11</f>
        <v>578</v>
      </c>
      <c r="I11" s="26"/>
    </row>
    <row r="12" spans="1:11" s="24" customFormat="1" x14ac:dyDescent="0.2">
      <c r="A12" s="20" t="s">
        <v>320</v>
      </c>
      <c r="B12" s="20"/>
      <c r="C12" s="21">
        <v>152.83000000000001</v>
      </c>
      <c r="D12" s="26"/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321</v>
      </c>
      <c r="B13" s="20"/>
      <c r="C13" s="21">
        <v>214.58</v>
      </c>
      <c r="D13" s="26"/>
      <c r="F13" s="31"/>
      <c r="G13" s="31"/>
      <c r="H13" s="31"/>
    </row>
    <row r="14" spans="1:11" s="24" customFormat="1" x14ac:dyDescent="0.2">
      <c r="A14" s="20" t="s">
        <v>291</v>
      </c>
      <c r="B14" s="20"/>
      <c r="C14" s="21">
        <v>118</v>
      </c>
      <c r="D14" s="26"/>
      <c r="F14" s="31"/>
      <c r="G14" s="31"/>
      <c r="H14" s="31"/>
      <c r="I14" s="26"/>
    </row>
    <row r="15" spans="1:11" s="24" customFormat="1" x14ac:dyDescent="0.2">
      <c r="A15" s="20" t="s">
        <v>311</v>
      </c>
      <c r="B15" s="20"/>
      <c r="C15" s="21">
        <v>37.450000000000003</v>
      </c>
      <c r="D15" s="26"/>
      <c r="F15" s="31"/>
      <c r="G15" s="31"/>
      <c r="H15" s="31"/>
      <c r="I15" s="26"/>
    </row>
    <row r="16" spans="1:11" s="24" customFormat="1" x14ac:dyDescent="0.2">
      <c r="A16" s="20" t="s">
        <v>318</v>
      </c>
      <c r="B16" s="20"/>
      <c r="C16" s="21">
        <v>26</v>
      </c>
      <c r="D16" s="26"/>
      <c r="F16" s="31"/>
      <c r="G16" s="31"/>
      <c r="H16" s="31"/>
      <c r="I16" s="26"/>
    </row>
    <row r="17" spans="1:9" s="24" customFormat="1" x14ac:dyDescent="0.2">
      <c r="A17" s="20" t="s">
        <v>317</v>
      </c>
      <c r="B17" s="20"/>
      <c r="C17" s="21">
        <v>25</v>
      </c>
      <c r="D17" s="26"/>
      <c r="F17" s="31"/>
      <c r="G17" s="31"/>
      <c r="H17" s="31"/>
      <c r="I17" s="26"/>
    </row>
    <row r="18" spans="1:9" s="24" customFormat="1" x14ac:dyDescent="0.2">
      <c r="A18" s="20" t="s">
        <v>319</v>
      </c>
      <c r="B18" s="20"/>
      <c r="C18" s="20">
        <v>110</v>
      </c>
      <c r="D18" s="26"/>
      <c r="F18" s="68" t="s">
        <v>327</v>
      </c>
      <c r="G18" s="68" t="s">
        <v>328</v>
      </c>
      <c r="H18" s="68" t="s">
        <v>322</v>
      </c>
      <c r="I18" s="26"/>
    </row>
    <row r="19" spans="1:9" s="24" customFormat="1" x14ac:dyDescent="0.2">
      <c r="A19" s="29"/>
      <c r="B19" s="29"/>
      <c r="C19" s="30"/>
      <c r="D19" s="26"/>
      <c r="F19" s="25">
        <f>H8</f>
        <v>685</v>
      </c>
      <c r="G19" s="25">
        <v>239</v>
      </c>
      <c r="H19" s="25">
        <f>F19-G19</f>
        <v>446</v>
      </c>
      <c r="I19" s="26"/>
    </row>
    <row r="20" spans="1:9" s="26" customFormat="1" x14ac:dyDescent="0.2">
      <c r="A20" s="32" t="s">
        <v>13</v>
      </c>
      <c r="B20" s="25"/>
      <c r="C20" s="27"/>
      <c r="F20" s="31"/>
      <c r="G20" s="31"/>
      <c r="H20" s="31"/>
    </row>
    <row r="21" spans="1:9" s="26" customFormat="1" x14ac:dyDescent="0.2">
      <c r="A21" s="20" t="s">
        <v>300</v>
      </c>
      <c r="B21" s="20"/>
      <c r="C21" s="20">
        <v>331.89</v>
      </c>
      <c r="F21" s="68" t="s">
        <v>329</v>
      </c>
      <c r="G21" s="68" t="s">
        <v>328</v>
      </c>
      <c r="H21" s="68" t="s">
        <v>322</v>
      </c>
    </row>
    <row r="22" spans="1:9" s="26" customFormat="1" x14ac:dyDescent="0.2">
      <c r="A22" s="20" t="s">
        <v>316</v>
      </c>
      <c r="B22" s="20"/>
      <c r="C22" s="21">
        <v>525</v>
      </c>
      <c r="F22" s="25">
        <f>H11</f>
        <v>578</v>
      </c>
      <c r="G22" s="25">
        <v>239</v>
      </c>
      <c r="H22" s="25">
        <f>F22-G22</f>
        <v>339</v>
      </c>
    </row>
    <row r="23" spans="1:9" s="24" customFormat="1" x14ac:dyDescent="0.2">
      <c r="A23" s="20" t="s">
        <v>295</v>
      </c>
      <c r="B23" s="20"/>
      <c r="C23" s="21">
        <v>118</v>
      </c>
      <c r="D23" s="26"/>
    </row>
    <row r="24" spans="1:9" s="24" customFormat="1" x14ac:dyDescent="0.2">
      <c r="A24" s="20" t="s">
        <v>315</v>
      </c>
      <c r="B24" s="20"/>
      <c r="C24" s="21">
        <v>311.55</v>
      </c>
      <c r="D24" s="26"/>
    </row>
    <row r="25" spans="1:9" s="26" customFormat="1" x14ac:dyDescent="0.2">
      <c r="A25" s="20" t="s">
        <v>76</v>
      </c>
      <c r="B25" s="20"/>
      <c r="C25" s="21">
        <v>14.99</v>
      </c>
      <c r="H25" s="68" t="s">
        <v>330</v>
      </c>
    </row>
    <row r="26" spans="1:9" s="26" customFormat="1" x14ac:dyDescent="0.2">
      <c r="A26" s="20" t="s">
        <v>311</v>
      </c>
      <c r="B26" s="20"/>
      <c r="C26" s="21">
        <v>37.450000000000003</v>
      </c>
      <c r="H26" s="25">
        <f>(H19+H22)/2</f>
        <v>392.5</v>
      </c>
    </row>
    <row r="27" spans="1:9" s="26" customFormat="1" x14ac:dyDescent="0.2">
      <c r="A27" s="20" t="s">
        <v>79</v>
      </c>
      <c r="B27" s="20"/>
      <c r="C27" s="21">
        <v>142</v>
      </c>
      <c r="I27" s="24"/>
    </row>
    <row r="28" spans="1:9" s="26" customFormat="1" x14ac:dyDescent="0.2">
      <c r="A28" s="20" t="s">
        <v>290</v>
      </c>
      <c r="B28" s="20"/>
      <c r="C28" s="21">
        <v>118</v>
      </c>
      <c r="H28" s="24"/>
      <c r="I28" s="24"/>
    </row>
    <row r="29" spans="1:9" s="24" customFormat="1" x14ac:dyDescent="0.2">
      <c r="A29" s="20" t="s">
        <v>75</v>
      </c>
      <c r="B29" s="20"/>
      <c r="C29" s="21">
        <v>256.22000000000003</v>
      </c>
      <c r="D29" s="26"/>
      <c r="F29" s="26"/>
      <c r="G29" s="26"/>
    </row>
    <row r="30" spans="1:9" s="26" customFormat="1" x14ac:dyDescent="0.2">
      <c r="A30" s="20" t="s">
        <v>78</v>
      </c>
      <c r="B30" s="20"/>
      <c r="C30" s="21">
        <v>71.77</v>
      </c>
    </row>
    <row r="31" spans="1:9" s="26" customFormat="1" x14ac:dyDescent="0.2">
      <c r="A31" s="20" t="s">
        <v>267</v>
      </c>
      <c r="B31" s="20"/>
      <c r="C31" s="55">
        <v>35</v>
      </c>
    </row>
    <row r="32" spans="1:9" s="24" customFormat="1" x14ac:dyDescent="0.2">
      <c r="A32" s="20" t="s">
        <v>301</v>
      </c>
      <c r="B32" s="20"/>
      <c r="C32" s="55">
        <v>107.55</v>
      </c>
      <c r="D32" s="26"/>
      <c r="F32" s="26"/>
      <c r="G32" s="26"/>
      <c r="I32"/>
    </row>
    <row r="33" spans="1:9" s="24" customFormat="1" x14ac:dyDescent="0.2">
      <c r="A33" s="20" t="s">
        <v>266</v>
      </c>
      <c r="B33" s="20"/>
      <c r="C33" s="21">
        <v>56</v>
      </c>
      <c r="D33" s="26"/>
      <c r="I33"/>
    </row>
    <row r="34" spans="1:9" s="24" customFormat="1" x14ac:dyDescent="0.2">
      <c r="A34" s="20" t="s">
        <v>302</v>
      </c>
      <c r="B34" s="20"/>
      <c r="C34" s="55">
        <v>144.47</v>
      </c>
      <c r="D34" s="26"/>
      <c r="I34" s="26"/>
    </row>
    <row r="35" spans="1:9" s="26" customFormat="1" x14ac:dyDescent="0.2">
      <c r="A35" s="14"/>
      <c r="B35" s="14"/>
      <c r="C35" s="14"/>
    </row>
    <row r="36" spans="1:9" s="26" customFormat="1" x14ac:dyDescent="0.2">
      <c r="A36"/>
      <c r="B36"/>
      <c r="C36"/>
      <c r="I36"/>
    </row>
    <row r="37" spans="1:9" x14ac:dyDescent="0.2">
      <c r="A37" s="26"/>
      <c r="B37" s="26"/>
      <c r="F37" s="26"/>
      <c r="G37" s="26"/>
    </row>
    <row r="38" spans="1:9" x14ac:dyDescent="0.2">
      <c r="A38" s="25" t="s">
        <v>338</v>
      </c>
      <c r="B38" s="25">
        <v>1546.75</v>
      </c>
      <c r="C38" s="69" t="s">
        <v>335</v>
      </c>
      <c r="F38" s="26"/>
      <c r="G38" s="26"/>
    </row>
    <row r="39" spans="1:9" s="26" customFormat="1" x14ac:dyDescent="0.2">
      <c r="A39" s="25" t="s">
        <v>339</v>
      </c>
      <c r="B39" s="25">
        <v>1802.97</v>
      </c>
      <c r="C39" s="69" t="s">
        <v>336</v>
      </c>
      <c r="I39"/>
    </row>
    <row r="40" spans="1:9" s="26" customFormat="1" x14ac:dyDescent="0.2">
      <c r="A40" s="25" t="s">
        <v>340</v>
      </c>
      <c r="B40" s="25">
        <v>2114.52</v>
      </c>
      <c r="C40" s="69" t="s">
        <v>337</v>
      </c>
      <c r="F40"/>
      <c r="I40"/>
    </row>
    <row r="41" spans="1:9" x14ac:dyDescent="0.2">
      <c r="A41" s="25" t="s">
        <v>341</v>
      </c>
      <c r="B41" s="25">
        <v>2329.1</v>
      </c>
      <c r="C41" s="69" t="s">
        <v>342</v>
      </c>
      <c r="G41" s="26"/>
    </row>
    <row r="42" spans="1:9" x14ac:dyDescent="0.2">
      <c r="A42" s="25" t="s">
        <v>343</v>
      </c>
      <c r="B42" s="69">
        <v>2481.9299999999998</v>
      </c>
      <c r="C42" s="70" t="s">
        <v>344</v>
      </c>
      <c r="F42" s="26"/>
    </row>
    <row r="43" spans="1:9" x14ac:dyDescent="0.2">
      <c r="A43" s="26"/>
      <c r="B43" s="44"/>
      <c r="F43" s="26"/>
    </row>
    <row r="44" spans="1:9" x14ac:dyDescent="0.2">
      <c r="A44" s="26"/>
      <c r="B44" s="44"/>
    </row>
    <row r="45" spans="1:9" x14ac:dyDescent="0.2">
      <c r="A45" s="54"/>
      <c r="B45" s="44"/>
    </row>
    <row r="46" spans="1:9" x14ac:dyDescent="0.2">
      <c r="A46" s="54"/>
      <c r="B46" s="44"/>
    </row>
    <row r="47" spans="1:9" x14ac:dyDescent="0.2">
      <c r="A47" s="54"/>
      <c r="B47" s="44"/>
    </row>
    <row r="48" spans="1:9" x14ac:dyDescent="0.2">
      <c r="A48" s="54"/>
      <c r="B48" s="44"/>
    </row>
    <row r="49" spans="1:2" x14ac:dyDescent="0.2">
      <c r="A49" s="54"/>
      <c r="B49" s="44"/>
    </row>
    <row r="50" spans="1:2" x14ac:dyDescent="0.2">
      <c r="A50" s="54"/>
      <c r="B50" s="44"/>
    </row>
    <row r="51" spans="1:2" x14ac:dyDescent="0.2">
      <c r="A51" s="54"/>
      <c r="B51" s="44"/>
    </row>
    <row r="52" spans="1:2" x14ac:dyDescent="0.2">
      <c r="A52" s="44"/>
      <c r="B52" s="44"/>
    </row>
    <row r="53" spans="1:2" x14ac:dyDescent="0.2">
      <c r="A53" s="26"/>
      <c r="B53" s="26"/>
    </row>
    <row r="54" spans="1:2" x14ac:dyDescent="0.2">
      <c r="A54" s="26"/>
      <c r="B54" s="26"/>
    </row>
    <row r="55" spans="1:2" x14ac:dyDescent="0.2">
      <c r="A55" s="26"/>
      <c r="B55" s="26"/>
    </row>
    <row r="56" spans="1:2" x14ac:dyDescent="0.2">
      <c r="A56" s="26"/>
      <c r="B56" s="26"/>
    </row>
    <row r="57" spans="1:2" x14ac:dyDescent="0.2">
      <c r="A57" s="26"/>
      <c r="B57" s="26"/>
    </row>
  </sheetData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K57"/>
  <sheetViews>
    <sheetView workbookViewId="0">
      <selection activeCell="A30" sqref="A30:C30"/>
    </sheetView>
  </sheetViews>
  <sheetFormatPr baseColWidth="10" defaultColWidth="8.83203125" defaultRowHeight="15" x14ac:dyDescent="0.2"/>
  <cols>
    <col min="1" max="1" width="44.5" bestFit="1" customWidth="1"/>
    <col min="2" max="2" width="16.164062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34" bestFit="1" customWidth="1"/>
    <col min="8" max="8" width="25.5" bestFit="1" customWidth="1"/>
    <col min="9" max="9" width="28.83203125" bestFit="1" customWidth="1"/>
    <col min="10" max="10" width="36.83203125" bestFit="1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1" ht="21" x14ac:dyDescent="0.25">
      <c r="A1" s="1" t="s">
        <v>314</v>
      </c>
    </row>
    <row r="2" spans="1:11" x14ac:dyDescent="0.2">
      <c r="A2" s="56" t="s">
        <v>261</v>
      </c>
      <c r="B2" s="57" t="s">
        <v>263</v>
      </c>
      <c r="C2" s="56" t="s">
        <v>264</v>
      </c>
      <c r="D2" s="56"/>
      <c r="E2" s="56" t="s">
        <v>273</v>
      </c>
      <c r="H2" s="40"/>
    </row>
    <row r="3" spans="1:11" x14ac:dyDescent="0.2">
      <c r="A3" s="26" t="s">
        <v>262</v>
      </c>
      <c r="B3" s="51">
        <v>1824.99</v>
      </c>
      <c r="C3" s="51">
        <v>1824.99</v>
      </c>
      <c r="D3" s="26"/>
      <c r="H3" s="26"/>
    </row>
    <row r="4" spans="1:11" x14ac:dyDescent="0.2">
      <c r="A4" s="26" t="s">
        <v>265</v>
      </c>
      <c r="B4">
        <v>982.82</v>
      </c>
      <c r="C4">
        <v>982.82</v>
      </c>
      <c r="D4" s="26"/>
      <c r="H4" s="26"/>
    </row>
    <row r="5" spans="1:11" s="26" customFormat="1" x14ac:dyDescent="0.2">
      <c r="A5" s="43"/>
      <c r="B5" s="43"/>
      <c r="C5" s="43"/>
      <c r="D5" s="43"/>
      <c r="E5" s="43"/>
    </row>
    <row r="6" spans="1:11" s="26" customFormat="1" x14ac:dyDescent="0.2">
      <c r="A6" s="43"/>
      <c r="B6" s="43"/>
      <c r="C6" s="43"/>
      <c r="D6" s="43"/>
      <c r="E6" s="43"/>
      <c r="H6" s="44"/>
    </row>
    <row r="7" spans="1:11" s="26" customFormat="1" x14ac:dyDescent="0.2">
      <c r="A7" s="32" t="s">
        <v>1</v>
      </c>
      <c r="B7" s="25"/>
      <c r="C7" s="32" t="s">
        <v>282</v>
      </c>
      <c r="F7" s="68" t="s">
        <v>323</v>
      </c>
      <c r="G7" s="68" t="s">
        <v>324</v>
      </c>
      <c r="H7" s="68" t="s">
        <v>322</v>
      </c>
    </row>
    <row r="8" spans="1:11" s="26" customFormat="1" x14ac:dyDescent="0.2">
      <c r="A8" s="32" t="s">
        <v>12</v>
      </c>
      <c r="B8" s="25"/>
      <c r="C8" s="32"/>
      <c r="F8" s="25">
        <v>2808</v>
      </c>
      <c r="G8" s="25">
        <v>2048</v>
      </c>
      <c r="H8" s="25">
        <f>F8-G8</f>
        <v>760</v>
      </c>
    </row>
    <row r="9" spans="1:11" s="24" customFormat="1" x14ac:dyDescent="0.2">
      <c r="A9" s="20" t="s">
        <v>293</v>
      </c>
      <c r="B9" s="20"/>
      <c r="C9" s="20">
        <v>1211.1099999999999</v>
      </c>
      <c r="F9" s="31"/>
      <c r="G9" s="31"/>
      <c r="H9" s="67"/>
      <c r="I9" s="26"/>
    </row>
    <row r="10" spans="1:11" s="24" customFormat="1" x14ac:dyDescent="0.2">
      <c r="A10" s="20" t="s">
        <v>60</v>
      </c>
      <c r="B10" s="20"/>
      <c r="C10" s="20">
        <v>112.31</v>
      </c>
      <c r="F10" s="68" t="s">
        <v>325</v>
      </c>
      <c r="G10" s="68" t="s">
        <v>326</v>
      </c>
      <c r="H10" s="68" t="s">
        <v>322</v>
      </c>
      <c r="I10" s="26"/>
    </row>
    <row r="11" spans="1:11" s="24" customFormat="1" x14ac:dyDescent="0.2">
      <c r="A11" s="20" t="s">
        <v>292</v>
      </c>
      <c r="B11" s="20"/>
      <c r="C11" s="21">
        <v>118</v>
      </c>
      <c r="F11" s="25">
        <v>2808</v>
      </c>
      <c r="G11" s="25">
        <v>2230</v>
      </c>
      <c r="H11" s="25">
        <f>F11-G11</f>
        <v>578</v>
      </c>
      <c r="I11" s="26"/>
    </row>
    <row r="12" spans="1:11" s="24" customFormat="1" x14ac:dyDescent="0.2">
      <c r="A12" s="20" t="s">
        <v>320</v>
      </c>
      <c r="B12" s="20"/>
      <c r="C12" s="21">
        <v>152.83000000000001</v>
      </c>
      <c r="D12" s="24">
        <v>9216.69</v>
      </c>
      <c r="F12" s="31"/>
      <c r="G12" s="31"/>
      <c r="H12" s="31"/>
      <c r="I12" s="26"/>
      <c r="J12" s="26"/>
      <c r="K12" s="26"/>
    </row>
    <row r="13" spans="1:11" s="24" customFormat="1" x14ac:dyDescent="0.2">
      <c r="A13" s="20" t="s">
        <v>321</v>
      </c>
      <c r="B13" s="20"/>
      <c r="C13" s="21">
        <v>214.58</v>
      </c>
      <c r="D13" s="24">
        <v>13675.55</v>
      </c>
      <c r="F13" s="31"/>
      <c r="G13" s="31"/>
      <c r="H13" s="31"/>
    </row>
    <row r="14" spans="1:11" s="24" customFormat="1" x14ac:dyDescent="0.2">
      <c r="A14" s="20" t="s">
        <v>291</v>
      </c>
      <c r="B14" s="20"/>
      <c r="C14" s="21">
        <v>118</v>
      </c>
      <c r="F14" s="31"/>
      <c r="G14" s="31"/>
      <c r="H14" s="31"/>
      <c r="I14" s="26"/>
    </row>
    <row r="15" spans="1:11" s="24" customFormat="1" x14ac:dyDescent="0.2">
      <c r="A15" s="20" t="s">
        <v>311</v>
      </c>
      <c r="B15" s="20"/>
      <c r="C15" s="21">
        <v>35</v>
      </c>
      <c r="F15" s="31"/>
      <c r="G15" s="31"/>
      <c r="H15" s="31"/>
      <c r="I15" s="26"/>
    </row>
    <row r="16" spans="1:11" s="24" customFormat="1" x14ac:dyDescent="0.2">
      <c r="A16" s="20" t="s">
        <v>318</v>
      </c>
      <c r="B16" s="20"/>
      <c r="C16" s="21">
        <v>26</v>
      </c>
      <c r="F16" s="31"/>
      <c r="G16" s="31"/>
      <c r="H16" s="31"/>
      <c r="I16" s="26"/>
    </row>
    <row r="17" spans="1:9" s="24" customFormat="1" x14ac:dyDescent="0.2">
      <c r="A17" s="20" t="s">
        <v>317</v>
      </c>
      <c r="B17" s="20"/>
      <c r="C17" s="21">
        <v>25</v>
      </c>
      <c r="F17" s="31"/>
      <c r="G17" s="31"/>
      <c r="H17" s="31"/>
      <c r="I17" s="26"/>
    </row>
    <row r="18" spans="1:9" s="24" customFormat="1" x14ac:dyDescent="0.2">
      <c r="A18" s="20" t="s">
        <v>319</v>
      </c>
      <c r="B18" s="20"/>
      <c r="C18" s="20">
        <v>35</v>
      </c>
      <c r="F18" s="68" t="s">
        <v>327</v>
      </c>
      <c r="G18" s="68" t="s">
        <v>328</v>
      </c>
      <c r="H18" s="68" t="s">
        <v>322</v>
      </c>
      <c r="I18" s="26"/>
    </row>
    <row r="19" spans="1:9" s="24" customFormat="1" x14ac:dyDescent="0.2">
      <c r="A19" s="29"/>
      <c r="B19" s="29"/>
      <c r="C19" s="30"/>
      <c r="F19" s="25">
        <f>H8</f>
        <v>760</v>
      </c>
      <c r="G19" s="25">
        <v>239</v>
      </c>
      <c r="H19" s="25">
        <f>F19-G19</f>
        <v>521</v>
      </c>
      <c r="I19" s="26"/>
    </row>
    <row r="20" spans="1:9" s="26" customFormat="1" x14ac:dyDescent="0.2">
      <c r="A20" s="32" t="s">
        <v>13</v>
      </c>
      <c r="B20" s="25"/>
      <c r="C20" s="27"/>
      <c r="F20" s="31"/>
      <c r="G20" s="31"/>
      <c r="H20" s="31"/>
    </row>
    <row r="21" spans="1:9" s="26" customFormat="1" x14ac:dyDescent="0.2">
      <c r="A21" s="20" t="s">
        <v>300</v>
      </c>
      <c r="B21" s="20"/>
      <c r="C21" s="20">
        <v>331.89</v>
      </c>
      <c r="F21" s="68" t="s">
        <v>329</v>
      </c>
      <c r="G21" s="68" t="s">
        <v>328</v>
      </c>
      <c r="H21" s="68" t="s">
        <v>322</v>
      </c>
    </row>
    <row r="22" spans="1:9" s="26" customFormat="1" x14ac:dyDescent="0.2">
      <c r="A22" s="20" t="s">
        <v>316</v>
      </c>
      <c r="B22" s="20"/>
      <c r="C22" s="21">
        <v>525</v>
      </c>
      <c r="F22" s="25">
        <f>H11</f>
        <v>578</v>
      </c>
      <c r="G22" s="25">
        <v>239</v>
      </c>
      <c r="H22" s="25">
        <f>F22-G22</f>
        <v>339</v>
      </c>
    </row>
    <row r="23" spans="1:9" s="24" customFormat="1" x14ac:dyDescent="0.2">
      <c r="A23" s="20" t="s">
        <v>295</v>
      </c>
      <c r="B23" s="20"/>
      <c r="C23" s="21">
        <v>118</v>
      </c>
      <c r="D23" s="26"/>
    </row>
    <row r="24" spans="1:9" s="24" customFormat="1" x14ac:dyDescent="0.2">
      <c r="A24" s="20" t="s">
        <v>315</v>
      </c>
      <c r="B24" s="20"/>
      <c r="C24" s="21">
        <v>311.55</v>
      </c>
      <c r="D24" s="24">
        <v>39515.81</v>
      </c>
    </row>
    <row r="25" spans="1:9" s="26" customFormat="1" x14ac:dyDescent="0.2">
      <c r="A25" s="20" t="s">
        <v>76</v>
      </c>
      <c r="B25" s="20"/>
      <c r="C25" s="21">
        <v>14.99</v>
      </c>
      <c r="H25" s="68" t="s">
        <v>330</v>
      </c>
    </row>
    <row r="26" spans="1:9" s="26" customFormat="1" x14ac:dyDescent="0.2">
      <c r="A26" s="20" t="s">
        <v>311</v>
      </c>
      <c r="B26" s="20"/>
      <c r="C26" s="21">
        <v>35</v>
      </c>
      <c r="H26" s="25">
        <f>(H19+H22)/2</f>
        <v>430</v>
      </c>
    </row>
    <row r="27" spans="1:9" s="26" customFormat="1" x14ac:dyDescent="0.2">
      <c r="A27" s="20" t="s">
        <v>79</v>
      </c>
      <c r="B27" s="20"/>
      <c r="C27" s="21">
        <v>142</v>
      </c>
      <c r="I27" s="24"/>
    </row>
    <row r="28" spans="1:9" s="26" customFormat="1" x14ac:dyDescent="0.2">
      <c r="A28" s="20" t="s">
        <v>290</v>
      </c>
      <c r="B28" s="20"/>
      <c r="C28" s="21">
        <v>118</v>
      </c>
      <c r="H28" s="24"/>
      <c r="I28" s="24"/>
    </row>
    <row r="29" spans="1:9" s="24" customFormat="1" x14ac:dyDescent="0.2">
      <c r="A29" s="20" t="s">
        <v>75</v>
      </c>
      <c r="B29" s="20"/>
      <c r="C29" s="21">
        <v>256.22000000000003</v>
      </c>
      <c r="D29" s="26"/>
      <c r="F29" s="26"/>
      <c r="G29" s="26"/>
    </row>
    <row r="30" spans="1:9" s="26" customFormat="1" x14ac:dyDescent="0.2">
      <c r="A30" s="20" t="s">
        <v>78</v>
      </c>
      <c r="B30" s="20"/>
      <c r="C30" s="21">
        <v>71.77</v>
      </c>
    </row>
    <row r="31" spans="1:9" s="26" customFormat="1" x14ac:dyDescent="0.2">
      <c r="A31" s="20" t="s">
        <v>267</v>
      </c>
      <c r="B31" s="20"/>
      <c r="C31" s="55">
        <v>31</v>
      </c>
    </row>
    <row r="32" spans="1:9" s="24" customFormat="1" x14ac:dyDescent="0.2">
      <c r="A32" s="20" t="s">
        <v>301</v>
      </c>
      <c r="B32" s="20"/>
      <c r="C32" s="55">
        <v>71.33</v>
      </c>
      <c r="F32" s="26"/>
      <c r="G32" s="26"/>
      <c r="I32"/>
    </row>
    <row r="33" spans="1:9" s="24" customFormat="1" x14ac:dyDescent="0.2">
      <c r="A33" s="20" t="s">
        <v>266</v>
      </c>
      <c r="B33" s="20"/>
      <c r="C33" s="21">
        <v>55.9</v>
      </c>
      <c r="F33" s="26"/>
      <c r="G33" s="26"/>
      <c r="I33"/>
    </row>
    <row r="34" spans="1:9" s="24" customFormat="1" x14ac:dyDescent="0.2">
      <c r="A34" s="20" t="s">
        <v>302</v>
      </c>
      <c r="B34" s="20"/>
      <c r="C34" s="55">
        <v>148.22999999999999</v>
      </c>
      <c r="F34" s="26"/>
      <c r="G34" s="26"/>
      <c r="I34" s="26"/>
    </row>
    <row r="35" spans="1:9" s="26" customFormat="1" x14ac:dyDescent="0.2">
      <c r="A35" s="14"/>
      <c r="B35" s="14"/>
      <c r="C35" s="14"/>
    </row>
    <row r="36" spans="1:9" s="26" customFormat="1" x14ac:dyDescent="0.2">
      <c r="A36"/>
      <c r="B36"/>
      <c r="C36"/>
      <c r="I36"/>
    </row>
    <row r="37" spans="1:9" x14ac:dyDescent="0.2">
      <c r="A37" s="26"/>
      <c r="B37" s="26"/>
      <c r="F37" s="26"/>
      <c r="G37" s="26"/>
    </row>
    <row r="38" spans="1:9" x14ac:dyDescent="0.2">
      <c r="A38" s="26"/>
      <c r="B38" s="26"/>
      <c r="C38" s="26"/>
      <c r="F38" s="26"/>
      <c r="G38" s="26"/>
    </row>
    <row r="39" spans="1:9" s="26" customFormat="1" x14ac:dyDescent="0.2">
      <c r="I39"/>
    </row>
    <row r="40" spans="1:9" s="26" customFormat="1" x14ac:dyDescent="0.2">
      <c r="F40"/>
      <c r="I40"/>
    </row>
    <row r="41" spans="1:9" x14ac:dyDescent="0.2">
      <c r="A41" s="26"/>
      <c r="B41" s="26"/>
      <c r="C41" s="26"/>
      <c r="G41" s="26"/>
    </row>
    <row r="42" spans="1:9" x14ac:dyDescent="0.2">
      <c r="A42" s="26"/>
      <c r="B42" s="44"/>
      <c r="F42" s="26"/>
    </row>
    <row r="43" spans="1:9" x14ac:dyDescent="0.2">
      <c r="A43" s="26"/>
      <c r="B43" s="44"/>
      <c r="F43" s="26"/>
    </row>
    <row r="44" spans="1:9" x14ac:dyDescent="0.2">
      <c r="A44" s="26"/>
      <c r="B44" s="44"/>
    </row>
    <row r="45" spans="1:9" x14ac:dyDescent="0.2">
      <c r="A45" s="54"/>
      <c r="B45" s="44"/>
    </row>
    <row r="46" spans="1:9" x14ac:dyDescent="0.2">
      <c r="A46" s="54"/>
      <c r="B46" s="44"/>
    </row>
    <row r="47" spans="1:9" x14ac:dyDescent="0.2">
      <c r="A47" s="54"/>
      <c r="B47" s="44"/>
    </row>
    <row r="48" spans="1:9" x14ac:dyDescent="0.2">
      <c r="A48" s="54"/>
      <c r="B48" s="44"/>
    </row>
    <row r="49" spans="1:2" x14ac:dyDescent="0.2">
      <c r="A49" s="54"/>
      <c r="B49" s="44"/>
    </row>
    <row r="50" spans="1:2" x14ac:dyDescent="0.2">
      <c r="A50" s="54"/>
      <c r="B50" s="44"/>
    </row>
    <row r="51" spans="1:2" x14ac:dyDescent="0.2">
      <c r="A51" s="54"/>
      <c r="B51" s="44"/>
    </row>
    <row r="52" spans="1:2" x14ac:dyDescent="0.2">
      <c r="A52" s="44"/>
      <c r="B52" s="44"/>
    </row>
    <row r="53" spans="1:2" x14ac:dyDescent="0.2">
      <c r="A53" s="26"/>
      <c r="B53" s="26"/>
    </row>
    <row r="54" spans="1:2" x14ac:dyDescent="0.2">
      <c r="A54" s="26"/>
      <c r="B54" s="26"/>
    </row>
    <row r="55" spans="1:2" x14ac:dyDescent="0.2">
      <c r="A55" s="26"/>
      <c r="B55" s="26"/>
    </row>
    <row r="56" spans="1:2" x14ac:dyDescent="0.2">
      <c r="A56" s="26"/>
      <c r="B56" s="26"/>
    </row>
    <row r="57" spans="1:2" x14ac:dyDescent="0.2">
      <c r="A57" s="26"/>
      <c r="B57" s="26"/>
    </row>
  </sheetData>
  <pageMargins left="0.7" right="0.7" top="0.75" bottom="0.75" header="0.3" footer="0.3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57"/>
  <sheetViews>
    <sheetView topLeftCell="A4" workbookViewId="0">
      <selection activeCell="A30" sqref="A30:C30"/>
    </sheetView>
  </sheetViews>
  <sheetFormatPr baseColWidth="10" defaultColWidth="8.83203125" defaultRowHeight="15" x14ac:dyDescent="0.2"/>
  <cols>
    <col min="1" max="1" width="44.5" bestFit="1" customWidth="1"/>
    <col min="2" max="2" width="16.164062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8" bestFit="1" customWidth="1"/>
    <col min="8" max="8" width="30.5" customWidth="1"/>
    <col min="9" max="10" width="12.1640625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9" ht="21" x14ac:dyDescent="0.25">
      <c r="A1" s="1" t="s">
        <v>313</v>
      </c>
    </row>
    <row r="2" spans="1:9" x14ac:dyDescent="0.2">
      <c r="A2" s="56" t="s">
        <v>261</v>
      </c>
      <c r="B2" s="57" t="s">
        <v>263</v>
      </c>
      <c r="C2" s="56" t="s">
        <v>264</v>
      </c>
      <c r="D2" s="56"/>
      <c r="E2" s="56" t="s">
        <v>273</v>
      </c>
      <c r="H2" s="40"/>
    </row>
    <row r="3" spans="1:9" x14ac:dyDescent="0.2">
      <c r="A3" s="26" t="s">
        <v>262</v>
      </c>
      <c r="B3" s="51">
        <v>1824.99</v>
      </c>
      <c r="C3" s="51">
        <v>1824.99</v>
      </c>
      <c r="D3" s="26"/>
      <c r="H3" s="26"/>
    </row>
    <row r="4" spans="1:9" x14ac:dyDescent="0.2">
      <c r="A4" s="26" t="s">
        <v>265</v>
      </c>
      <c r="B4">
        <v>982.82</v>
      </c>
      <c r="C4">
        <v>982.82</v>
      </c>
      <c r="D4" s="26"/>
      <c r="H4" s="26"/>
    </row>
    <row r="5" spans="1:9" s="26" customFormat="1" x14ac:dyDescent="0.2">
      <c r="A5" s="43"/>
      <c r="B5" s="43"/>
      <c r="C5" s="43"/>
      <c r="D5" s="43"/>
      <c r="E5" s="43"/>
    </row>
    <row r="6" spans="1:9" s="26" customFormat="1" x14ac:dyDescent="0.2">
      <c r="A6" s="43"/>
      <c r="B6" s="43"/>
      <c r="C6" s="43"/>
      <c r="D6" s="43"/>
      <c r="E6" s="43"/>
      <c r="H6" s="44"/>
    </row>
    <row r="7" spans="1:9" s="26" customFormat="1" x14ac:dyDescent="0.2">
      <c r="A7" s="32" t="s">
        <v>1</v>
      </c>
      <c r="B7" s="25"/>
      <c r="C7" s="32" t="s">
        <v>282</v>
      </c>
      <c r="H7" s="66"/>
      <c r="I7"/>
    </row>
    <row r="8" spans="1:9" s="26" customFormat="1" x14ac:dyDescent="0.2">
      <c r="A8" s="32" t="s">
        <v>12</v>
      </c>
      <c r="B8" s="25"/>
      <c r="C8" s="32"/>
    </row>
    <row r="9" spans="1:9" s="24" customFormat="1" x14ac:dyDescent="0.2">
      <c r="A9" s="20" t="s">
        <v>293</v>
      </c>
      <c r="B9" s="20"/>
      <c r="C9" s="20">
        <v>1195.6099999999999</v>
      </c>
      <c r="F9" s="26"/>
      <c r="G9" s="26"/>
      <c r="H9" s="26"/>
      <c r="I9" s="26"/>
    </row>
    <row r="10" spans="1:9" s="24" customFormat="1" x14ac:dyDescent="0.2">
      <c r="A10" s="20" t="s">
        <v>60</v>
      </c>
      <c r="B10" s="20"/>
      <c r="C10" s="20">
        <v>112.31</v>
      </c>
      <c r="F10" s="26"/>
      <c r="G10" s="26"/>
      <c r="H10" s="65"/>
      <c r="I10" s="26"/>
    </row>
    <row r="11" spans="1:9" s="24" customFormat="1" x14ac:dyDescent="0.2">
      <c r="A11" s="20" t="s">
        <v>292</v>
      </c>
      <c r="B11" s="20"/>
      <c r="C11" s="21">
        <v>118</v>
      </c>
      <c r="F11" s="26"/>
      <c r="G11" s="26"/>
      <c r="H11" s="26"/>
      <c r="I11" s="26"/>
    </row>
    <row r="12" spans="1:9" s="24" customFormat="1" x14ac:dyDescent="0.2">
      <c r="A12" s="20" t="s">
        <v>296</v>
      </c>
      <c r="B12" s="20"/>
      <c r="C12" s="21">
        <v>152.83000000000001</v>
      </c>
      <c r="F12" s="26"/>
      <c r="G12" s="26"/>
      <c r="H12" s="65"/>
      <c r="I12" s="26"/>
    </row>
    <row r="13" spans="1:9" s="24" customFormat="1" x14ac:dyDescent="0.2">
      <c r="A13" s="20" t="s">
        <v>297</v>
      </c>
      <c r="B13" s="20"/>
      <c r="C13" s="21">
        <v>214.58</v>
      </c>
      <c r="F13" s="26"/>
      <c r="G13" s="26"/>
    </row>
    <row r="14" spans="1:9" s="24" customFormat="1" x14ac:dyDescent="0.2">
      <c r="A14" s="20" t="s">
        <v>291</v>
      </c>
      <c r="B14" s="20"/>
      <c r="C14" s="21">
        <v>118</v>
      </c>
      <c r="F14" s="26"/>
      <c r="G14" s="26"/>
      <c r="H14" s="26"/>
      <c r="I14" s="26"/>
    </row>
    <row r="15" spans="1:9" s="24" customFormat="1" x14ac:dyDescent="0.2">
      <c r="A15" s="20" t="s">
        <v>288</v>
      </c>
      <c r="B15" s="20"/>
      <c r="C15" s="21">
        <v>25</v>
      </c>
      <c r="F15" s="26"/>
      <c r="G15" s="26"/>
    </row>
    <row r="16" spans="1:9" s="24" customFormat="1" x14ac:dyDescent="0.2">
      <c r="A16" s="20" t="s">
        <v>309</v>
      </c>
      <c r="B16" s="20"/>
      <c r="C16" s="21">
        <v>35</v>
      </c>
      <c r="F16" s="26"/>
      <c r="G16" s="26"/>
      <c r="H16" s="26"/>
      <c r="I16" s="26"/>
    </row>
    <row r="17" spans="1:9" s="24" customFormat="1" x14ac:dyDescent="0.2">
      <c r="A17" s="20" t="s">
        <v>298</v>
      </c>
      <c r="B17" s="20"/>
      <c r="C17" s="21">
        <v>25</v>
      </c>
      <c r="F17" s="26"/>
      <c r="G17" s="26"/>
      <c r="H17" s="26"/>
      <c r="I17" s="26"/>
    </row>
    <row r="18" spans="1:9" s="24" customFormat="1" x14ac:dyDescent="0.2">
      <c r="A18" s="20" t="s">
        <v>299</v>
      </c>
      <c r="B18" s="20"/>
      <c r="C18" s="21">
        <v>25</v>
      </c>
      <c r="F18" s="26"/>
      <c r="G18" s="26"/>
      <c r="H18" s="26"/>
      <c r="I18" s="26"/>
    </row>
    <row r="19" spans="1:9" s="24" customFormat="1" x14ac:dyDescent="0.2">
      <c r="A19" s="29"/>
      <c r="B19" s="29"/>
      <c r="C19" s="30"/>
      <c r="F19" s="26"/>
      <c r="G19" s="26"/>
      <c r="H19" s="26"/>
      <c r="I19" s="26"/>
    </row>
    <row r="20" spans="1:9" s="26" customFormat="1" x14ac:dyDescent="0.2">
      <c r="A20" s="32" t="s">
        <v>13</v>
      </c>
      <c r="B20" s="25"/>
      <c r="C20" s="27"/>
    </row>
    <row r="21" spans="1:9" s="26" customFormat="1" x14ac:dyDescent="0.2">
      <c r="A21" s="20" t="s">
        <v>300</v>
      </c>
      <c r="B21" s="20"/>
      <c r="C21" s="20">
        <v>316.39</v>
      </c>
    </row>
    <row r="22" spans="1:9" s="26" customFormat="1" x14ac:dyDescent="0.2">
      <c r="A22" s="25"/>
      <c r="B22" s="25"/>
      <c r="C22" s="27"/>
    </row>
    <row r="23" spans="1:9" s="24" customFormat="1" x14ac:dyDescent="0.2">
      <c r="A23" s="20" t="s">
        <v>295</v>
      </c>
      <c r="B23" s="20"/>
      <c r="C23" s="21">
        <v>118</v>
      </c>
      <c r="D23" s="26"/>
      <c r="F23" s="26"/>
      <c r="G23" s="26"/>
    </row>
    <row r="24" spans="1:9" s="24" customFormat="1" x14ac:dyDescent="0.2">
      <c r="A24" s="20" t="s">
        <v>303</v>
      </c>
      <c r="B24" s="20"/>
      <c r="C24" s="21">
        <v>311.55</v>
      </c>
      <c r="D24" s="26"/>
      <c r="F24" s="26"/>
      <c r="G24" s="26"/>
    </row>
    <row r="25" spans="1:9" s="26" customFormat="1" x14ac:dyDescent="0.2">
      <c r="A25" s="20" t="s">
        <v>76</v>
      </c>
      <c r="B25" s="20"/>
      <c r="C25" s="21">
        <v>14.99</v>
      </c>
    </row>
    <row r="26" spans="1:9" s="26" customFormat="1" x14ac:dyDescent="0.2">
      <c r="A26" s="20" t="s">
        <v>311</v>
      </c>
      <c r="B26" s="20"/>
      <c r="C26" s="21">
        <v>35</v>
      </c>
    </row>
    <row r="27" spans="1:9" s="24" customFormat="1" x14ac:dyDescent="0.2">
      <c r="A27" s="20" t="s">
        <v>79</v>
      </c>
      <c r="B27" s="20"/>
      <c r="C27" s="21">
        <v>142</v>
      </c>
    </row>
    <row r="28" spans="1:9" s="26" customFormat="1" x14ac:dyDescent="0.2">
      <c r="A28" s="20" t="s">
        <v>290</v>
      </c>
      <c r="B28" s="20"/>
      <c r="C28" s="21">
        <v>118</v>
      </c>
      <c r="H28" s="24"/>
      <c r="I28" s="24"/>
    </row>
    <row r="29" spans="1:9" s="24" customFormat="1" x14ac:dyDescent="0.2">
      <c r="A29" s="20" t="s">
        <v>75</v>
      </c>
      <c r="B29" s="20"/>
      <c r="C29" s="21">
        <v>256.22000000000003</v>
      </c>
      <c r="D29" s="26"/>
      <c r="F29" s="26"/>
      <c r="G29" s="26"/>
    </row>
    <row r="30" spans="1:9" s="26" customFormat="1" x14ac:dyDescent="0.2">
      <c r="A30" s="20" t="s">
        <v>78</v>
      </c>
      <c r="B30" s="20"/>
      <c r="C30" s="21">
        <v>71.77</v>
      </c>
    </row>
    <row r="31" spans="1:9" s="26" customFormat="1" x14ac:dyDescent="0.2">
      <c r="A31" s="20" t="s">
        <v>267</v>
      </c>
      <c r="B31" s="20"/>
      <c r="C31" s="55">
        <v>31</v>
      </c>
    </row>
    <row r="32" spans="1:9" s="24" customFormat="1" x14ac:dyDescent="0.2">
      <c r="A32" s="20" t="s">
        <v>301</v>
      </c>
      <c r="B32" s="20"/>
      <c r="C32" s="55">
        <v>71.33</v>
      </c>
      <c r="F32" s="26"/>
      <c r="G32" s="26"/>
      <c r="H32"/>
      <c r="I32"/>
    </row>
    <row r="33" spans="1:9" s="24" customFormat="1" x14ac:dyDescent="0.2">
      <c r="A33" s="20" t="s">
        <v>266</v>
      </c>
      <c r="B33" s="20"/>
      <c r="C33" s="21">
        <v>78</v>
      </c>
      <c r="F33" s="26"/>
      <c r="G33" s="26"/>
      <c r="H33"/>
      <c r="I33"/>
    </row>
    <row r="34" spans="1:9" s="24" customFormat="1" x14ac:dyDescent="0.2">
      <c r="A34" s="20" t="s">
        <v>302</v>
      </c>
      <c r="B34" s="20"/>
      <c r="C34" s="55">
        <v>152.5</v>
      </c>
      <c r="F34" s="26"/>
      <c r="G34" s="26"/>
      <c r="H34" s="26"/>
      <c r="I34" s="26"/>
    </row>
    <row r="35" spans="1:9" s="26" customFormat="1" x14ac:dyDescent="0.2">
      <c r="A35" s="14"/>
      <c r="B35" s="14"/>
      <c r="C35" s="14"/>
      <c r="F35"/>
    </row>
    <row r="36" spans="1:9" s="26" customFormat="1" x14ac:dyDescent="0.2">
      <c r="A36"/>
      <c r="B36"/>
      <c r="C36"/>
      <c r="F36"/>
      <c r="H36"/>
      <c r="I36"/>
    </row>
    <row r="37" spans="1:9" x14ac:dyDescent="0.2">
      <c r="A37" s="26"/>
      <c r="B37" s="26"/>
      <c r="F37" s="26"/>
    </row>
    <row r="38" spans="1:9" x14ac:dyDescent="0.2">
      <c r="A38" s="26"/>
      <c r="B38" s="26"/>
      <c r="C38" s="26"/>
      <c r="F38" s="26"/>
    </row>
    <row r="39" spans="1:9" s="26" customFormat="1" x14ac:dyDescent="0.2">
      <c r="F39"/>
      <c r="G39"/>
      <c r="H39"/>
      <c r="I39"/>
    </row>
    <row r="40" spans="1:9" s="26" customFormat="1" x14ac:dyDescent="0.2">
      <c r="F40"/>
      <c r="G40"/>
      <c r="H40"/>
      <c r="I40"/>
    </row>
    <row r="41" spans="1:9" x14ac:dyDescent="0.2">
      <c r="A41" s="26"/>
      <c r="B41" s="26"/>
      <c r="C41" s="26"/>
    </row>
    <row r="42" spans="1:9" x14ac:dyDescent="0.2">
      <c r="A42" s="26"/>
      <c r="B42" s="44"/>
    </row>
    <row r="43" spans="1:9" x14ac:dyDescent="0.2">
      <c r="A43" s="26"/>
      <c r="B43" s="44"/>
    </row>
    <row r="44" spans="1:9" x14ac:dyDescent="0.2">
      <c r="A44" s="26"/>
      <c r="B44" s="44"/>
    </row>
    <row r="45" spans="1:9" x14ac:dyDescent="0.2">
      <c r="A45" s="54"/>
      <c r="B45" s="44"/>
    </row>
    <row r="46" spans="1:9" x14ac:dyDescent="0.2">
      <c r="A46" s="54"/>
      <c r="B46" s="44"/>
    </row>
    <row r="47" spans="1:9" x14ac:dyDescent="0.2">
      <c r="A47" s="54"/>
      <c r="B47" s="44"/>
    </row>
    <row r="48" spans="1:9" x14ac:dyDescent="0.2">
      <c r="A48" s="54"/>
      <c r="B48" s="44"/>
    </row>
    <row r="49" spans="1:2" x14ac:dyDescent="0.2">
      <c r="A49" s="54"/>
      <c r="B49" s="44"/>
    </row>
    <row r="50" spans="1:2" x14ac:dyDescent="0.2">
      <c r="A50" s="54"/>
      <c r="B50" s="44"/>
    </row>
    <row r="51" spans="1:2" x14ac:dyDescent="0.2">
      <c r="A51" s="54"/>
      <c r="B51" s="44"/>
    </row>
    <row r="52" spans="1:2" x14ac:dyDescent="0.2">
      <c r="A52" s="44"/>
      <c r="B52" s="44"/>
    </row>
    <row r="53" spans="1:2" x14ac:dyDescent="0.2">
      <c r="A53" s="26"/>
      <c r="B53" s="26"/>
    </row>
    <row r="54" spans="1:2" x14ac:dyDescent="0.2">
      <c r="A54" s="26"/>
      <c r="B54" s="26"/>
    </row>
    <row r="55" spans="1:2" x14ac:dyDescent="0.2">
      <c r="A55" s="26"/>
      <c r="B55" s="26"/>
    </row>
    <row r="56" spans="1:2" x14ac:dyDescent="0.2">
      <c r="A56" s="26"/>
      <c r="B56" s="26"/>
    </row>
    <row r="57" spans="1:2" x14ac:dyDescent="0.2">
      <c r="A57" s="26"/>
      <c r="B57" s="26"/>
    </row>
  </sheetData>
  <pageMargins left="0.7" right="0.7" top="0.75" bottom="0.75" header="0.3" footer="0.3"/>
  <pageSetup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57"/>
  <sheetViews>
    <sheetView workbookViewId="0">
      <selection activeCell="A21" sqref="A21:C21"/>
    </sheetView>
  </sheetViews>
  <sheetFormatPr baseColWidth="10" defaultColWidth="8.83203125" defaultRowHeight="15" x14ac:dyDescent="0.2"/>
  <cols>
    <col min="1" max="1" width="44.5" bestFit="1" customWidth="1"/>
    <col min="2" max="2" width="16.164062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8" bestFit="1" customWidth="1"/>
    <col min="8" max="8" width="30.5" customWidth="1"/>
    <col min="9" max="10" width="12.1640625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9" ht="21" x14ac:dyDescent="0.25">
      <c r="A1" s="1" t="s">
        <v>312</v>
      </c>
    </row>
    <row r="2" spans="1:9" x14ac:dyDescent="0.2">
      <c r="A2" s="56" t="s">
        <v>261</v>
      </c>
      <c r="B2" s="57" t="s">
        <v>263</v>
      </c>
      <c r="C2" s="56" t="s">
        <v>264</v>
      </c>
      <c r="D2" s="56"/>
      <c r="E2" s="56" t="s">
        <v>273</v>
      </c>
      <c r="H2" s="40"/>
    </row>
    <row r="3" spans="1:9" x14ac:dyDescent="0.2">
      <c r="A3" s="26" t="s">
        <v>262</v>
      </c>
      <c r="B3" s="51">
        <v>1824.99</v>
      </c>
      <c r="C3" s="51">
        <v>1824.99</v>
      </c>
      <c r="D3" s="26"/>
      <c r="H3" s="26"/>
    </row>
    <row r="4" spans="1:9" x14ac:dyDescent="0.2">
      <c r="A4" s="26" t="s">
        <v>265</v>
      </c>
      <c r="B4">
        <v>982.82</v>
      </c>
      <c r="C4">
        <v>982.82</v>
      </c>
      <c r="D4" s="26"/>
      <c r="H4" s="26"/>
    </row>
    <row r="5" spans="1:9" s="26" customFormat="1" x14ac:dyDescent="0.2">
      <c r="A5" s="43"/>
      <c r="B5" s="43"/>
      <c r="C5" s="43"/>
      <c r="D5" s="43"/>
      <c r="E5" s="43"/>
    </row>
    <row r="6" spans="1:9" s="26" customFormat="1" x14ac:dyDescent="0.2">
      <c r="A6" s="43"/>
      <c r="B6" s="43"/>
      <c r="C6" s="43"/>
      <c r="D6" s="43"/>
      <c r="E6" s="43"/>
      <c r="H6" s="44"/>
    </row>
    <row r="7" spans="1:9" s="26" customFormat="1" x14ac:dyDescent="0.2">
      <c r="A7" s="32" t="s">
        <v>1</v>
      </c>
      <c r="B7" s="25"/>
      <c r="C7" s="32" t="s">
        <v>282</v>
      </c>
      <c r="H7" s="66"/>
      <c r="I7"/>
    </row>
    <row r="8" spans="1:9" s="26" customFormat="1" x14ac:dyDescent="0.2">
      <c r="A8" s="32" t="s">
        <v>12</v>
      </c>
      <c r="B8" s="25"/>
      <c r="C8" s="32"/>
      <c r="F8" s="64" t="s">
        <v>307</v>
      </c>
      <c r="G8" s="25"/>
    </row>
    <row r="9" spans="1:9" s="24" customFormat="1" x14ac:dyDescent="0.2">
      <c r="A9" s="20" t="s">
        <v>293</v>
      </c>
      <c r="B9" s="20"/>
      <c r="C9" s="53">
        <v>1131.6099999999999</v>
      </c>
      <c r="F9" s="25" t="s">
        <v>12</v>
      </c>
      <c r="G9" s="25"/>
      <c r="H9" s="26"/>
      <c r="I9" s="26"/>
    </row>
    <row r="10" spans="1:9" s="24" customFormat="1" x14ac:dyDescent="0.2">
      <c r="A10" s="20" t="s">
        <v>60</v>
      </c>
      <c r="B10" s="20"/>
      <c r="C10" s="20">
        <v>112.31</v>
      </c>
      <c r="F10" s="25" t="s">
        <v>293</v>
      </c>
      <c r="G10" s="25">
        <v>1195.6099999999999</v>
      </c>
      <c r="H10" s="65"/>
      <c r="I10" s="26"/>
    </row>
    <row r="11" spans="1:9" s="24" customFormat="1" x14ac:dyDescent="0.2">
      <c r="A11" s="20" t="s">
        <v>292</v>
      </c>
      <c r="B11" s="20"/>
      <c r="C11" s="21">
        <v>118</v>
      </c>
      <c r="F11" s="25" t="s">
        <v>60</v>
      </c>
      <c r="G11" s="25">
        <v>110.14</v>
      </c>
      <c r="H11" s="26"/>
      <c r="I11" s="26"/>
    </row>
    <row r="12" spans="1:9" s="24" customFormat="1" x14ac:dyDescent="0.2">
      <c r="A12" s="20" t="s">
        <v>296</v>
      </c>
      <c r="B12" s="20"/>
      <c r="C12" s="21">
        <v>152.83000000000001</v>
      </c>
      <c r="F12" s="25" t="s">
        <v>292</v>
      </c>
      <c r="G12" s="25">
        <v>237.5</v>
      </c>
      <c r="H12" s="65"/>
      <c r="I12" s="26"/>
    </row>
    <row r="13" spans="1:9" s="24" customFormat="1" x14ac:dyDescent="0.2">
      <c r="A13" s="20" t="s">
        <v>297</v>
      </c>
      <c r="B13" s="20"/>
      <c r="C13" s="21">
        <v>214.58</v>
      </c>
      <c r="F13" s="25" t="s">
        <v>296</v>
      </c>
      <c r="G13" s="25">
        <v>152.83000000000001</v>
      </c>
    </row>
    <row r="14" spans="1:9" s="24" customFormat="1" x14ac:dyDescent="0.2">
      <c r="A14" s="20" t="s">
        <v>291</v>
      </c>
      <c r="B14" s="20"/>
      <c r="C14" s="21">
        <v>118</v>
      </c>
      <c r="F14" s="25" t="s">
        <v>297</v>
      </c>
      <c r="G14" s="25">
        <v>214.58</v>
      </c>
      <c r="H14" s="26"/>
      <c r="I14" s="26"/>
    </row>
    <row r="15" spans="1:9" s="24" customFormat="1" x14ac:dyDescent="0.2">
      <c r="A15" s="20" t="s">
        <v>288</v>
      </c>
      <c r="B15" s="20"/>
      <c r="C15" s="21">
        <v>25</v>
      </c>
      <c r="F15" s="25" t="s">
        <v>291</v>
      </c>
      <c r="G15" s="25">
        <v>237.5</v>
      </c>
    </row>
    <row r="16" spans="1:9" s="24" customFormat="1" x14ac:dyDescent="0.2">
      <c r="A16" s="20" t="s">
        <v>309</v>
      </c>
      <c r="B16" s="20"/>
      <c r="C16" s="21">
        <v>35</v>
      </c>
      <c r="F16" s="25" t="s">
        <v>288</v>
      </c>
      <c r="G16" s="25">
        <v>25</v>
      </c>
      <c r="H16" s="26"/>
      <c r="I16" s="26"/>
    </row>
    <row r="17" spans="1:9" s="24" customFormat="1" x14ac:dyDescent="0.2">
      <c r="A17" s="20" t="s">
        <v>298</v>
      </c>
      <c r="B17" s="20"/>
      <c r="C17" s="21">
        <v>25</v>
      </c>
      <c r="F17" s="25" t="s">
        <v>298</v>
      </c>
      <c r="G17" s="25">
        <v>25</v>
      </c>
      <c r="H17" s="26"/>
      <c r="I17" s="26"/>
    </row>
    <row r="18" spans="1:9" s="24" customFormat="1" x14ac:dyDescent="0.2">
      <c r="A18" s="20" t="s">
        <v>299</v>
      </c>
      <c r="B18" s="20"/>
      <c r="C18" s="21">
        <v>25</v>
      </c>
      <c r="F18" s="25" t="s">
        <v>299</v>
      </c>
      <c r="G18" s="25">
        <v>25</v>
      </c>
      <c r="H18" s="26"/>
      <c r="I18" s="26"/>
    </row>
    <row r="19" spans="1:9" s="24" customFormat="1" x14ac:dyDescent="0.2">
      <c r="A19" s="29"/>
      <c r="B19" s="29"/>
      <c r="C19" s="30"/>
      <c r="F19" s="25" t="s">
        <v>309</v>
      </c>
      <c r="G19" s="25">
        <v>35</v>
      </c>
      <c r="H19" s="26"/>
      <c r="I19" s="26"/>
    </row>
    <row r="20" spans="1:9" s="26" customFormat="1" x14ac:dyDescent="0.2">
      <c r="A20" s="32" t="s">
        <v>13</v>
      </c>
      <c r="B20" s="25"/>
      <c r="C20" s="27"/>
      <c r="F20" s="29"/>
      <c r="G20" s="29"/>
    </row>
    <row r="21" spans="1:9" s="26" customFormat="1" x14ac:dyDescent="0.2">
      <c r="A21" s="20" t="s">
        <v>300</v>
      </c>
      <c r="B21" s="20"/>
      <c r="C21" s="20">
        <v>316.39</v>
      </c>
      <c r="F21" s="25" t="s">
        <v>295</v>
      </c>
      <c r="G21" s="25">
        <v>237.5</v>
      </c>
    </row>
    <row r="22" spans="1:9" s="26" customFormat="1" x14ac:dyDescent="0.2">
      <c r="A22" s="20" t="s">
        <v>310</v>
      </c>
      <c r="B22" s="20"/>
      <c r="C22" s="21">
        <v>488.22</v>
      </c>
      <c r="F22" s="25" t="s">
        <v>300</v>
      </c>
      <c r="G22" s="25">
        <v>316.39</v>
      </c>
    </row>
    <row r="23" spans="1:9" s="24" customFormat="1" x14ac:dyDescent="0.2">
      <c r="A23" s="20" t="s">
        <v>295</v>
      </c>
      <c r="B23" s="20"/>
      <c r="C23" s="21">
        <v>118</v>
      </c>
      <c r="D23" s="26"/>
      <c r="F23" s="25" t="s">
        <v>34</v>
      </c>
      <c r="G23" s="27">
        <v>488.22</v>
      </c>
    </row>
    <row r="24" spans="1:9" s="24" customFormat="1" x14ac:dyDescent="0.2">
      <c r="A24" s="20" t="s">
        <v>303</v>
      </c>
      <c r="B24" s="20"/>
      <c r="C24" s="21">
        <v>311.55</v>
      </c>
      <c r="D24" s="26"/>
      <c r="F24" s="25" t="s">
        <v>303</v>
      </c>
      <c r="G24" s="27">
        <v>311.55</v>
      </c>
    </row>
    <row r="25" spans="1:9" s="26" customFormat="1" x14ac:dyDescent="0.2">
      <c r="A25" s="20" t="s">
        <v>76</v>
      </c>
      <c r="B25" s="20"/>
      <c r="C25" s="21">
        <v>14.99</v>
      </c>
      <c r="F25" s="25" t="s">
        <v>79</v>
      </c>
      <c r="G25" s="27">
        <v>142</v>
      </c>
    </row>
    <row r="26" spans="1:9" s="26" customFormat="1" x14ac:dyDescent="0.2">
      <c r="A26" s="20" t="s">
        <v>311</v>
      </c>
      <c r="B26" s="20"/>
      <c r="C26" s="21">
        <v>35</v>
      </c>
      <c r="F26" s="25" t="s">
        <v>76</v>
      </c>
      <c r="G26" s="27">
        <v>14.99</v>
      </c>
    </row>
    <row r="27" spans="1:9" s="26" customFormat="1" x14ac:dyDescent="0.2">
      <c r="A27" s="20" t="s">
        <v>79</v>
      </c>
      <c r="B27" s="20"/>
      <c r="C27" s="21">
        <v>142</v>
      </c>
      <c r="F27" s="25" t="s">
        <v>309</v>
      </c>
      <c r="G27" s="27">
        <v>35</v>
      </c>
      <c r="H27" s="24"/>
      <c r="I27" s="24"/>
    </row>
    <row r="28" spans="1:9" s="26" customFormat="1" x14ac:dyDescent="0.2">
      <c r="A28" s="20" t="s">
        <v>290</v>
      </c>
      <c r="B28" s="20"/>
      <c r="C28" s="21">
        <v>118</v>
      </c>
      <c r="F28" s="25" t="s">
        <v>290</v>
      </c>
      <c r="G28" s="25">
        <v>237.5</v>
      </c>
      <c r="H28" s="24"/>
      <c r="I28" s="24"/>
    </row>
    <row r="29" spans="1:9" s="24" customFormat="1" x14ac:dyDescent="0.2">
      <c r="A29" s="20" t="s">
        <v>75</v>
      </c>
      <c r="B29" s="20"/>
      <c r="C29" s="21">
        <v>256.22000000000003</v>
      </c>
      <c r="D29" s="26"/>
      <c r="F29" s="25" t="s">
        <v>75</v>
      </c>
      <c r="G29" s="25">
        <v>256.22000000000003</v>
      </c>
    </row>
    <row r="30" spans="1:9" s="26" customFormat="1" x14ac:dyDescent="0.2">
      <c r="A30" s="20" t="s">
        <v>78</v>
      </c>
      <c r="B30" s="20"/>
      <c r="C30" s="21">
        <v>71.77</v>
      </c>
      <c r="F30" s="25" t="s">
        <v>78</v>
      </c>
      <c r="G30" s="25">
        <v>71.77</v>
      </c>
    </row>
    <row r="31" spans="1:9" s="26" customFormat="1" x14ac:dyDescent="0.2">
      <c r="A31" s="20" t="s">
        <v>267</v>
      </c>
      <c r="B31" s="20"/>
      <c r="C31" s="55">
        <v>35</v>
      </c>
      <c r="F31" s="25" t="s">
        <v>267</v>
      </c>
      <c r="G31" s="25">
        <v>30</v>
      </c>
    </row>
    <row r="32" spans="1:9" s="24" customFormat="1" x14ac:dyDescent="0.2">
      <c r="A32" s="20" t="s">
        <v>301</v>
      </c>
      <c r="B32" s="20"/>
      <c r="C32" s="55">
        <v>61.33</v>
      </c>
      <c r="F32" s="25" t="s">
        <v>301</v>
      </c>
      <c r="G32" s="25">
        <v>115</v>
      </c>
      <c r="H32"/>
      <c r="I32"/>
    </row>
    <row r="33" spans="1:9" s="24" customFormat="1" x14ac:dyDescent="0.2">
      <c r="A33" s="20" t="s">
        <v>266</v>
      </c>
      <c r="B33" s="20"/>
      <c r="C33" s="21">
        <v>55</v>
      </c>
      <c r="F33" s="25" t="s">
        <v>266</v>
      </c>
      <c r="G33" s="25">
        <v>56</v>
      </c>
      <c r="H33"/>
      <c r="I33"/>
    </row>
    <row r="34" spans="1:9" s="24" customFormat="1" x14ac:dyDescent="0.2">
      <c r="A34" s="20" t="s">
        <v>302</v>
      </c>
      <c r="B34" s="20"/>
      <c r="C34" s="55">
        <v>158.24</v>
      </c>
      <c r="F34" s="25" t="s">
        <v>302</v>
      </c>
      <c r="G34" s="25">
        <v>166.1</v>
      </c>
      <c r="H34" s="26"/>
      <c r="I34" s="26"/>
    </row>
    <row r="35" spans="1:9" s="26" customFormat="1" x14ac:dyDescent="0.2">
      <c r="A35" s="14"/>
      <c r="B35" s="14"/>
      <c r="C35" s="14"/>
      <c r="F35"/>
    </row>
    <row r="36" spans="1:9" s="26" customFormat="1" x14ac:dyDescent="0.2">
      <c r="A36"/>
      <c r="B36"/>
      <c r="C36"/>
      <c r="F36"/>
      <c r="H36"/>
      <c r="I36"/>
    </row>
    <row r="37" spans="1:9" x14ac:dyDescent="0.2">
      <c r="A37" s="26"/>
      <c r="B37" s="26"/>
      <c r="F37" s="26"/>
    </row>
    <row r="38" spans="1:9" x14ac:dyDescent="0.2">
      <c r="A38" s="26"/>
      <c r="B38" s="26"/>
      <c r="C38" s="26"/>
      <c r="F38" s="26"/>
    </row>
    <row r="39" spans="1:9" s="26" customFormat="1" x14ac:dyDescent="0.2">
      <c r="F39"/>
      <c r="G39"/>
      <c r="H39"/>
      <c r="I39"/>
    </row>
    <row r="40" spans="1:9" s="26" customFormat="1" x14ac:dyDescent="0.2">
      <c r="F40"/>
      <c r="G40"/>
      <c r="H40"/>
      <c r="I40"/>
    </row>
    <row r="41" spans="1:9" x14ac:dyDescent="0.2">
      <c r="A41" s="26"/>
      <c r="B41" s="26"/>
      <c r="C41" s="26"/>
    </row>
    <row r="42" spans="1:9" x14ac:dyDescent="0.2">
      <c r="A42" s="26"/>
      <c r="B42" s="44"/>
    </row>
    <row r="43" spans="1:9" x14ac:dyDescent="0.2">
      <c r="A43" s="26"/>
      <c r="B43" s="44"/>
    </row>
    <row r="44" spans="1:9" x14ac:dyDescent="0.2">
      <c r="A44" s="26"/>
      <c r="B44" s="44"/>
    </row>
    <row r="45" spans="1:9" x14ac:dyDescent="0.2">
      <c r="A45" s="54"/>
      <c r="B45" s="44"/>
    </row>
    <row r="46" spans="1:9" x14ac:dyDescent="0.2">
      <c r="A46" s="54"/>
      <c r="B46" s="44"/>
    </row>
    <row r="47" spans="1:9" x14ac:dyDescent="0.2">
      <c r="A47" s="54"/>
      <c r="B47" s="44"/>
    </row>
    <row r="48" spans="1:9" x14ac:dyDescent="0.2">
      <c r="A48" s="54"/>
      <c r="B48" s="44"/>
    </row>
    <row r="49" spans="1:2" x14ac:dyDescent="0.2">
      <c r="A49" s="54"/>
      <c r="B49" s="44"/>
    </row>
    <row r="50" spans="1:2" x14ac:dyDescent="0.2">
      <c r="A50" s="54"/>
      <c r="B50" s="44"/>
    </row>
    <row r="51" spans="1:2" x14ac:dyDescent="0.2">
      <c r="A51" s="54"/>
      <c r="B51" s="44"/>
    </row>
    <row r="52" spans="1:2" x14ac:dyDescent="0.2">
      <c r="A52" s="44"/>
      <c r="B52" s="44"/>
    </row>
    <row r="53" spans="1:2" x14ac:dyDescent="0.2">
      <c r="A53" s="26"/>
      <c r="B53" s="26"/>
    </row>
    <row r="54" spans="1:2" x14ac:dyDescent="0.2">
      <c r="A54" s="26"/>
      <c r="B54" s="26"/>
    </row>
    <row r="55" spans="1:2" x14ac:dyDescent="0.2">
      <c r="A55" s="26"/>
      <c r="B55" s="26"/>
    </row>
    <row r="56" spans="1:2" x14ac:dyDescent="0.2">
      <c r="A56" s="26"/>
      <c r="B56" s="26"/>
    </row>
    <row r="57" spans="1:2" x14ac:dyDescent="0.2">
      <c r="A57" s="26"/>
      <c r="B57" s="26"/>
    </row>
  </sheetData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57"/>
  <sheetViews>
    <sheetView workbookViewId="0">
      <selection activeCell="A26" sqref="A26:C26"/>
    </sheetView>
  </sheetViews>
  <sheetFormatPr baseColWidth="10" defaultColWidth="8.83203125" defaultRowHeight="15" x14ac:dyDescent="0.2"/>
  <cols>
    <col min="1" max="1" width="44.5" bestFit="1" customWidth="1"/>
    <col min="2" max="2" width="16.164062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8" bestFit="1" customWidth="1"/>
    <col min="8" max="8" width="30.5" customWidth="1"/>
    <col min="9" max="10" width="12.1640625" customWidth="1"/>
    <col min="11" max="11" width="30.8320312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10" ht="21" x14ac:dyDescent="0.25">
      <c r="A1" s="1" t="s">
        <v>308</v>
      </c>
    </row>
    <row r="2" spans="1:10" x14ac:dyDescent="0.2">
      <c r="A2" s="56" t="s">
        <v>261</v>
      </c>
      <c r="B2" s="57" t="s">
        <v>263</v>
      </c>
      <c r="C2" s="56" t="s">
        <v>264</v>
      </c>
      <c r="D2" s="56"/>
      <c r="E2" s="56" t="s">
        <v>273</v>
      </c>
      <c r="H2" s="40"/>
    </row>
    <row r="3" spans="1:10" x14ac:dyDescent="0.2">
      <c r="A3" s="26" t="s">
        <v>262</v>
      </c>
      <c r="B3" s="51">
        <v>1824.99</v>
      </c>
      <c r="C3" s="51">
        <v>1824.99</v>
      </c>
      <c r="D3" s="26"/>
      <c r="H3" s="26"/>
    </row>
    <row r="4" spans="1:10" x14ac:dyDescent="0.2">
      <c r="A4" s="26" t="s">
        <v>265</v>
      </c>
      <c r="B4">
        <v>982.82</v>
      </c>
      <c r="C4">
        <v>982.82</v>
      </c>
      <c r="D4" s="26"/>
      <c r="H4" s="26"/>
    </row>
    <row r="5" spans="1:10" s="26" customFormat="1" x14ac:dyDescent="0.2">
      <c r="A5" s="43"/>
      <c r="B5" s="43"/>
      <c r="C5" s="43"/>
      <c r="D5" s="43"/>
      <c r="E5" s="43"/>
    </row>
    <row r="6" spans="1:10" s="26" customFormat="1" x14ac:dyDescent="0.2">
      <c r="A6" s="43"/>
      <c r="B6" s="43"/>
      <c r="C6" s="43"/>
      <c r="D6" s="43"/>
      <c r="E6" s="43"/>
      <c r="H6" s="44"/>
      <c r="J6" s="26">
        <v>21602</v>
      </c>
    </row>
    <row r="7" spans="1:10" s="26" customFormat="1" x14ac:dyDescent="0.2">
      <c r="A7" s="32" t="s">
        <v>1</v>
      </c>
      <c r="B7" s="25"/>
      <c r="C7" s="32" t="s">
        <v>282</v>
      </c>
      <c r="H7" s="66"/>
      <c r="I7"/>
    </row>
    <row r="8" spans="1:10" s="26" customFormat="1" x14ac:dyDescent="0.2">
      <c r="A8" s="32" t="s">
        <v>12</v>
      </c>
      <c r="B8" s="25"/>
      <c r="C8" s="32"/>
      <c r="F8" s="64" t="s">
        <v>307</v>
      </c>
      <c r="G8" s="25"/>
      <c r="J8" s="26">
        <v>4416</v>
      </c>
    </row>
    <row r="9" spans="1:10" s="24" customFormat="1" x14ac:dyDescent="0.2">
      <c r="A9" s="20" t="s">
        <v>293</v>
      </c>
      <c r="B9" s="20"/>
      <c r="C9" s="53">
        <v>1131.6099999999999</v>
      </c>
      <c r="F9" s="25" t="s">
        <v>12</v>
      </c>
      <c r="G9" s="25"/>
      <c r="H9" s="26"/>
      <c r="I9" s="26"/>
    </row>
    <row r="10" spans="1:10" s="24" customFormat="1" x14ac:dyDescent="0.2">
      <c r="A10" s="20" t="s">
        <v>60</v>
      </c>
      <c r="B10" s="20"/>
      <c r="C10" s="20">
        <v>110.14</v>
      </c>
      <c r="F10" s="25" t="s">
        <v>293</v>
      </c>
      <c r="G10" s="25">
        <v>1195.6099999999999</v>
      </c>
      <c r="H10" s="65"/>
      <c r="I10" s="26"/>
    </row>
    <row r="11" spans="1:10" s="24" customFormat="1" x14ac:dyDescent="0.2">
      <c r="A11" s="20" t="s">
        <v>292</v>
      </c>
      <c r="B11" s="20"/>
      <c r="C11" s="21">
        <v>125</v>
      </c>
      <c r="F11" s="25" t="s">
        <v>60</v>
      </c>
      <c r="G11" s="25">
        <v>110.14</v>
      </c>
      <c r="H11" s="26"/>
      <c r="I11" s="26"/>
    </row>
    <row r="12" spans="1:10" s="24" customFormat="1" x14ac:dyDescent="0.2">
      <c r="A12" s="20" t="s">
        <v>296</v>
      </c>
      <c r="B12" s="20"/>
      <c r="C12" s="21">
        <v>152.83000000000001</v>
      </c>
      <c r="F12" s="25" t="s">
        <v>292</v>
      </c>
      <c r="G12" s="25">
        <v>237.5</v>
      </c>
      <c r="H12" s="65"/>
      <c r="I12" s="26"/>
    </row>
    <row r="13" spans="1:10" s="24" customFormat="1" x14ac:dyDescent="0.2">
      <c r="A13" s="20" t="s">
        <v>297</v>
      </c>
      <c r="B13" s="20"/>
      <c r="C13" s="21">
        <v>214.58</v>
      </c>
      <c r="F13" s="25" t="s">
        <v>296</v>
      </c>
      <c r="G13" s="25">
        <v>152.83000000000001</v>
      </c>
    </row>
    <row r="14" spans="1:10" s="24" customFormat="1" x14ac:dyDescent="0.2">
      <c r="A14" s="20" t="s">
        <v>291</v>
      </c>
      <c r="B14" s="20"/>
      <c r="C14" s="21">
        <v>125</v>
      </c>
      <c r="F14" s="25" t="s">
        <v>297</v>
      </c>
      <c r="G14" s="25">
        <v>214.58</v>
      </c>
      <c r="H14" s="26"/>
      <c r="I14" s="26"/>
    </row>
    <row r="15" spans="1:10" s="24" customFormat="1" x14ac:dyDescent="0.2">
      <c r="A15" s="20" t="s">
        <v>288</v>
      </c>
      <c r="B15" s="20"/>
      <c r="C15" s="21">
        <v>25</v>
      </c>
      <c r="F15" s="25" t="s">
        <v>291</v>
      </c>
      <c r="G15" s="25">
        <v>237.5</v>
      </c>
    </row>
    <row r="16" spans="1:10" s="24" customFormat="1" x14ac:dyDescent="0.2">
      <c r="A16" s="20" t="s">
        <v>309</v>
      </c>
      <c r="B16" s="20"/>
      <c r="C16" s="21">
        <v>35</v>
      </c>
      <c r="F16" s="25" t="s">
        <v>288</v>
      </c>
      <c r="G16" s="25">
        <v>25</v>
      </c>
      <c r="H16" s="26"/>
      <c r="I16" s="26"/>
    </row>
    <row r="17" spans="1:9" s="24" customFormat="1" x14ac:dyDescent="0.2">
      <c r="A17" s="20" t="s">
        <v>298</v>
      </c>
      <c r="B17" s="20"/>
      <c r="C17" s="21">
        <v>25</v>
      </c>
      <c r="F17" s="25" t="s">
        <v>298</v>
      </c>
      <c r="G17" s="25">
        <v>25</v>
      </c>
      <c r="H17" s="26"/>
      <c r="I17" s="26"/>
    </row>
    <row r="18" spans="1:9" s="24" customFormat="1" x14ac:dyDescent="0.2">
      <c r="A18" s="20" t="s">
        <v>299</v>
      </c>
      <c r="B18" s="20"/>
      <c r="C18" s="21">
        <v>25</v>
      </c>
      <c r="F18" s="25" t="s">
        <v>299</v>
      </c>
      <c r="G18" s="25">
        <v>25</v>
      </c>
      <c r="H18" s="26"/>
      <c r="I18" s="26"/>
    </row>
    <row r="19" spans="1:9" s="24" customFormat="1" x14ac:dyDescent="0.2">
      <c r="A19" s="29"/>
      <c r="B19" s="29"/>
      <c r="C19" s="30"/>
      <c r="F19" s="25" t="s">
        <v>309</v>
      </c>
      <c r="G19" s="25">
        <v>35</v>
      </c>
      <c r="H19" s="26"/>
      <c r="I19" s="26"/>
    </row>
    <row r="20" spans="1:9" s="26" customFormat="1" x14ac:dyDescent="0.2">
      <c r="A20" s="32" t="s">
        <v>13</v>
      </c>
      <c r="B20" s="25"/>
      <c r="C20" s="27"/>
      <c r="F20" s="29"/>
      <c r="G20" s="29"/>
    </row>
    <row r="21" spans="1:9" s="26" customFormat="1" x14ac:dyDescent="0.2">
      <c r="A21" s="20" t="s">
        <v>300</v>
      </c>
      <c r="B21" s="20"/>
      <c r="C21" s="21">
        <v>252.39</v>
      </c>
      <c r="F21" s="25" t="s">
        <v>295</v>
      </c>
      <c r="G21" s="25">
        <v>237.5</v>
      </c>
    </row>
    <row r="22" spans="1:9" s="26" customFormat="1" x14ac:dyDescent="0.2">
      <c r="A22" s="20" t="s">
        <v>310</v>
      </c>
      <c r="B22" s="20"/>
      <c r="C22" s="21">
        <v>488.22</v>
      </c>
      <c r="F22" s="25" t="s">
        <v>300</v>
      </c>
      <c r="G22" s="25">
        <v>316.39</v>
      </c>
    </row>
    <row r="23" spans="1:9" s="24" customFormat="1" x14ac:dyDescent="0.2">
      <c r="A23" s="20" t="s">
        <v>295</v>
      </c>
      <c r="B23" s="20"/>
      <c r="C23" s="21">
        <v>125</v>
      </c>
      <c r="F23" s="25" t="s">
        <v>34</v>
      </c>
      <c r="G23" s="27">
        <v>488.22</v>
      </c>
    </row>
    <row r="24" spans="1:9" s="24" customFormat="1" x14ac:dyDescent="0.2">
      <c r="A24" s="20" t="s">
        <v>303</v>
      </c>
      <c r="B24" s="20"/>
      <c r="C24" s="21">
        <v>311.55</v>
      </c>
      <c r="F24" s="25" t="s">
        <v>303</v>
      </c>
      <c r="G24" s="27">
        <v>311.55</v>
      </c>
    </row>
    <row r="25" spans="1:9" s="26" customFormat="1" x14ac:dyDescent="0.2">
      <c r="A25" s="20" t="s">
        <v>76</v>
      </c>
      <c r="B25" s="20"/>
      <c r="C25" s="21">
        <v>14.99</v>
      </c>
      <c r="F25" s="25" t="s">
        <v>79</v>
      </c>
      <c r="G25" s="27">
        <v>142</v>
      </c>
    </row>
    <row r="26" spans="1:9" s="26" customFormat="1" x14ac:dyDescent="0.2">
      <c r="A26" s="20" t="s">
        <v>311</v>
      </c>
      <c r="B26" s="20"/>
      <c r="C26" s="21">
        <v>35</v>
      </c>
      <c r="F26" s="25" t="s">
        <v>76</v>
      </c>
      <c r="G26" s="27">
        <v>14.99</v>
      </c>
    </row>
    <row r="27" spans="1:9" s="26" customFormat="1" x14ac:dyDescent="0.2">
      <c r="A27" s="20" t="s">
        <v>79</v>
      </c>
      <c r="B27" s="20"/>
      <c r="C27" s="21">
        <v>142</v>
      </c>
      <c r="F27" s="25" t="s">
        <v>309</v>
      </c>
      <c r="G27" s="27">
        <v>35</v>
      </c>
      <c r="H27" s="24"/>
      <c r="I27" s="24"/>
    </row>
    <row r="28" spans="1:9" s="26" customFormat="1" x14ac:dyDescent="0.2">
      <c r="A28" s="20" t="s">
        <v>290</v>
      </c>
      <c r="B28" s="20"/>
      <c r="C28" s="21">
        <v>125</v>
      </c>
      <c r="F28" s="25" t="s">
        <v>290</v>
      </c>
      <c r="G28" s="25">
        <v>237.5</v>
      </c>
      <c r="H28" s="24"/>
      <c r="I28" s="24"/>
    </row>
    <row r="29" spans="1:9" s="24" customFormat="1" x14ac:dyDescent="0.2">
      <c r="A29" s="20" t="s">
        <v>75</v>
      </c>
      <c r="B29" s="20"/>
      <c r="C29" s="21">
        <v>256.22000000000003</v>
      </c>
      <c r="F29" s="25" t="s">
        <v>75</v>
      </c>
      <c r="G29" s="25">
        <v>256.22000000000003</v>
      </c>
    </row>
    <row r="30" spans="1:9" s="26" customFormat="1" x14ac:dyDescent="0.2">
      <c r="A30" s="20" t="s">
        <v>78</v>
      </c>
      <c r="B30" s="20"/>
      <c r="C30" s="21">
        <v>71.77</v>
      </c>
      <c r="F30" s="25" t="s">
        <v>78</v>
      </c>
      <c r="G30" s="25">
        <v>71.77</v>
      </c>
    </row>
    <row r="31" spans="1:9" s="26" customFormat="1" x14ac:dyDescent="0.2">
      <c r="A31" s="20" t="s">
        <v>267</v>
      </c>
      <c r="B31" s="20"/>
      <c r="C31" s="55">
        <v>31</v>
      </c>
      <c r="F31" s="25" t="s">
        <v>267</v>
      </c>
      <c r="G31" s="25">
        <v>30</v>
      </c>
    </row>
    <row r="32" spans="1:9" s="24" customFormat="1" x14ac:dyDescent="0.2">
      <c r="A32" s="20" t="s">
        <v>301</v>
      </c>
      <c r="B32" s="20"/>
      <c r="C32" s="55">
        <v>61.33</v>
      </c>
      <c r="F32" s="25" t="s">
        <v>301</v>
      </c>
      <c r="G32" s="25">
        <v>115</v>
      </c>
      <c r="H32"/>
      <c r="I32"/>
    </row>
    <row r="33" spans="1:9" s="24" customFormat="1" x14ac:dyDescent="0.2">
      <c r="A33" s="20" t="s">
        <v>266</v>
      </c>
      <c r="B33" s="20"/>
      <c r="C33" s="21">
        <v>56</v>
      </c>
      <c r="F33" s="25" t="s">
        <v>266</v>
      </c>
      <c r="G33" s="25">
        <v>56</v>
      </c>
      <c r="H33"/>
      <c r="I33"/>
    </row>
    <row r="34" spans="1:9" s="24" customFormat="1" x14ac:dyDescent="0.2">
      <c r="A34" s="20" t="s">
        <v>302</v>
      </c>
      <c r="B34" s="20"/>
      <c r="C34" s="55">
        <v>158.88</v>
      </c>
      <c r="F34" s="25" t="s">
        <v>302</v>
      </c>
      <c r="G34" s="25">
        <v>166.1</v>
      </c>
      <c r="H34" s="26"/>
      <c r="I34" s="26"/>
    </row>
    <row r="35" spans="1:9" s="26" customFormat="1" x14ac:dyDescent="0.2">
      <c r="A35" s="14"/>
      <c r="B35" s="14"/>
      <c r="C35" s="14"/>
      <c r="F35"/>
    </row>
    <row r="36" spans="1:9" s="26" customFormat="1" x14ac:dyDescent="0.2">
      <c r="A36"/>
      <c r="B36"/>
      <c r="C36"/>
      <c r="F36"/>
      <c r="H36"/>
      <c r="I36"/>
    </row>
    <row r="37" spans="1:9" x14ac:dyDescent="0.2">
      <c r="A37" s="26"/>
      <c r="B37" s="26"/>
      <c r="F37" s="26"/>
    </row>
    <row r="38" spans="1:9" x14ac:dyDescent="0.2">
      <c r="A38" s="26"/>
      <c r="B38" s="26"/>
      <c r="C38" s="26"/>
      <c r="F38" s="26"/>
    </row>
    <row r="39" spans="1:9" s="26" customFormat="1" x14ac:dyDescent="0.2">
      <c r="F39"/>
      <c r="G39"/>
      <c r="H39"/>
      <c r="I39"/>
    </row>
    <row r="40" spans="1:9" s="26" customFormat="1" x14ac:dyDescent="0.2">
      <c r="F40"/>
      <c r="G40"/>
      <c r="H40"/>
      <c r="I40"/>
    </row>
    <row r="41" spans="1:9" x14ac:dyDescent="0.2">
      <c r="A41" s="26"/>
      <c r="B41" s="26"/>
      <c r="C41" s="26"/>
    </row>
    <row r="42" spans="1:9" x14ac:dyDescent="0.2">
      <c r="A42" s="26"/>
      <c r="B42" s="44"/>
    </row>
    <row r="43" spans="1:9" x14ac:dyDescent="0.2">
      <c r="A43" s="26"/>
      <c r="B43" s="44"/>
    </row>
    <row r="44" spans="1:9" x14ac:dyDescent="0.2">
      <c r="A44" s="26"/>
      <c r="B44" s="44"/>
    </row>
    <row r="45" spans="1:9" x14ac:dyDescent="0.2">
      <c r="A45" s="54"/>
      <c r="B45" s="44"/>
    </row>
    <row r="46" spans="1:9" x14ac:dyDescent="0.2">
      <c r="A46" s="54"/>
      <c r="B46" s="44"/>
    </row>
    <row r="47" spans="1:9" x14ac:dyDescent="0.2">
      <c r="A47" s="54"/>
      <c r="B47" s="44"/>
    </row>
    <row r="48" spans="1:9" x14ac:dyDescent="0.2">
      <c r="A48" s="54"/>
      <c r="B48" s="44"/>
    </row>
    <row r="49" spans="1:2" x14ac:dyDescent="0.2">
      <c r="A49" s="54"/>
      <c r="B49" s="44"/>
    </row>
    <row r="50" spans="1:2" x14ac:dyDescent="0.2">
      <c r="A50" s="54"/>
      <c r="B50" s="44"/>
    </row>
    <row r="51" spans="1:2" x14ac:dyDescent="0.2">
      <c r="A51" s="54"/>
      <c r="B51" s="44"/>
    </row>
    <row r="52" spans="1:2" x14ac:dyDescent="0.2">
      <c r="A52" s="44"/>
      <c r="B52" s="44"/>
    </row>
    <row r="53" spans="1:2" x14ac:dyDescent="0.2">
      <c r="A53" s="26"/>
      <c r="B53" s="26"/>
    </row>
    <row r="54" spans="1:2" x14ac:dyDescent="0.2">
      <c r="A54" s="26"/>
      <c r="B54" s="26"/>
    </row>
    <row r="55" spans="1:2" x14ac:dyDescent="0.2">
      <c r="A55" s="26"/>
      <c r="B55" s="26"/>
    </row>
    <row r="56" spans="1:2" x14ac:dyDescent="0.2">
      <c r="A56" s="26"/>
      <c r="B56" s="26"/>
    </row>
    <row r="57" spans="1:2" x14ac:dyDescent="0.2">
      <c r="A57" s="26"/>
      <c r="B57" s="26"/>
    </row>
  </sheetData>
  <pageMargins left="0.7" right="0.7" top="0.75" bottom="0.75" header="0.3" footer="0.3"/>
  <pageSetup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57"/>
  <sheetViews>
    <sheetView workbookViewId="0">
      <selection activeCell="A30" sqref="A30:XFD30"/>
    </sheetView>
  </sheetViews>
  <sheetFormatPr baseColWidth="10" defaultColWidth="8.83203125" defaultRowHeight="15" x14ac:dyDescent="0.2"/>
  <cols>
    <col min="1" max="1" width="44.5" bestFit="1" customWidth="1"/>
    <col min="2" max="2" width="16.164062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8" bestFit="1" customWidth="1"/>
    <col min="8" max="8" width="30.83203125" bestFit="1" customWidth="1"/>
    <col min="9" max="10" width="12.1640625" customWidth="1"/>
    <col min="12" max="12" width="34.5" customWidth="1"/>
    <col min="14" max="14" width="19.33203125" bestFit="1" customWidth="1"/>
    <col min="16" max="16" width="20.5" bestFit="1" customWidth="1"/>
  </cols>
  <sheetData>
    <row r="1" spans="1:9" ht="21" x14ac:dyDescent="0.25">
      <c r="A1" s="1" t="s">
        <v>287</v>
      </c>
    </row>
    <row r="2" spans="1:9" x14ac:dyDescent="0.2">
      <c r="A2" s="56" t="s">
        <v>261</v>
      </c>
      <c r="B2" s="57" t="s">
        <v>263</v>
      </c>
      <c r="C2" s="56" t="s">
        <v>264</v>
      </c>
      <c r="D2" s="56"/>
      <c r="E2" s="56" t="s">
        <v>273</v>
      </c>
      <c r="H2" s="40"/>
    </row>
    <row r="3" spans="1:9" x14ac:dyDescent="0.2">
      <c r="A3" s="26" t="s">
        <v>262</v>
      </c>
      <c r="B3" s="51">
        <v>1732.73</v>
      </c>
      <c r="C3" s="51">
        <v>1732.73</v>
      </c>
      <c r="D3" s="26"/>
      <c r="E3">
        <v>674.15</v>
      </c>
      <c r="H3" s="26"/>
    </row>
    <row r="4" spans="1:9" x14ac:dyDescent="0.2">
      <c r="A4" s="26" t="s">
        <v>265</v>
      </c>
      <c r="B4">
        <v>982.82</v>
      </c>
      <c r="C4">
        <v>982.82</v>
      </c>
      <c r="D4" s="26"/>
      <c r="E4">
        <v>775.36</v>
      </c>
      <c r="H4" s="26"/>
    </row>
    <row r="5" spans="1:9" s="26" customFormat="1" x14ac:dyDescent="0.2">
      <c r="A5" s="43"/>
      <c r="B5" s="43"/>
      <c r="C5" s="43"/>
      <c r="D5" s="43"/>
      <c r="E5" s="43"/>
    </row>
    <row r="6" spans="1:9" s="26" customFormat="1" x14ac:dyDescent="0.2">
      <c r="A6" s="43"/>
      <c r="B6" s="43"/>
      <c r="C6" s="43"/>
      <c r="D6" s="43"/>
      <c r="E6" s="43"/>
    </row>
    <row r="7" spans="1:9" s="26" customFormat="1" x14ac:dyDescent="0.2">
      <c r="A7" s="32" t="s">
        <v>1</v>
      </c>
      <c r="B7" s="25"/>
      <c r="C7" s="32" t="s">
        <v>282</v>
      </c>
      <c r="F7" s="24"/>
      <c r="G7" s="24"/>
      <c r="H7" s="24"/>
      <c r="I7" s="24"/>
    </row>
    <row r="8" spans="1:9" s="26" customFormat="1" x14ac:dyDescent="0.2">
      <c r="A8" s="32" t="s">
        <v>12</v>
      </c>
      <c r="B8" s="25"/>
      <c r="C8" s="32"/>
      <c r="F8" s="24"/>
      <c r="G8" s="24"/>
      <c r="H8" s="24"/>
      <c r="I8" s="24"/>
    </row>
    <row r="9" spans="1:9" s="24" customFormat="1" x14ac:dyDescent="0.2">
      <c r="A9" s="20" t="s">
        <v>293</v>
      </c>
      <c r="B9" s="20"/>
      <c r="C9" s="53">
        <v>1131.6099999999999</v>
      </c>
    </row>
    <row r="10" spans="1:9" s="24" customFormat="1" x14ac:dyDescent="0.2">
      <c r="A10" s="20" t="s">
        <v>60</v>
      </c>
      <c r="B10" s="20"/>
      <c r="C10" s="20">
        <v>110.14</v>
      </c>
    </row>
    <row r="11" spans="1:9" s="24" customFormat="1" x14ac:dyDescent="0.2">
      <c r="A11" s="20" t="s">
        <v>292</v>
      </c>
      <c r="B11" s="20"/>
      <c r="C11" s="21">
        <v>125</v>
      </c>
    </row>
    <row r="12" spans="1:9" s="24" customFormat="1" x14ac:dyDescent="0.2">
      <c r="A12" s="20" t="s">
        <v>296</v>
      </c>
      <c r="B12" s="20"/>
      <c r="C12" s="21">
        <v>152.83000000000001</v>
      </c>
    </row>
    <row r="13" spans="1:9" s="26" customFormat="1" x14ac:dyDescent="0.2">
      <c r="A13" s="20" t="s">
        <v>297</v>
      </c>
      <c r="B13" s="20"/>
      <c r="C13" s="21">
        <v>207.82</v>
      </c>
      <c r="F13" s="24"/>
      <c r="G13" s="24"/>
      <c r="H13" s="24"/>
      <c r="I13" s="24"/>
    </row>
    <row r="14" spans="1:9" s="24" customFormat="1" x14ac:dyDescent="0.2">
      <c r="A14" s="20" t="s">
        <v>291</v>
      </c>
      <c r="B14" s="20"/>
      <c r="C14" s="21">
        <v>125</v>
      </c>
    </row>
    <row r="15" spans="1:9" s="24" customFormat="1" x14ac:dyDescent="0.2">
      <c r="A15" s="20" t="s">
        <v>288</v>
      </c>
      <c r="B15" s="20"/>
      <c r="C15" s="21">
        <v>25</v>
      </c>
    </row>
    <row r="16" spans="1:9" s="24" customFormat="1" x14ac:dyDescent="0.2">
      <c r="A16" s="20" t="s">
        <v>298</v>
      </c>
      <c r="B16" s="20"/>
      <c r="C16" s="21">
        <v>25</v>
      </c>
    </row>
    <row r="17" spans="1:9" s="24" customFormat="1" x14ac:dyDescent="0.2">
      <c r="A17" s="20" t="s">
        <v>289</v>
      </c>
      <c r="B17" s="20"/>
      <c r="C17" s="21">
        <v>50</v>
      </c>
    </row>
    <row r="18" spans="1:9" s="24" customFormat="1" x14ac:dyDescent="0.2">
      <c r="A18" s="20" t="s">
        <v>294</v>
      </c>
      <c r="B18" s="20"/>
      <c r="C18" s="21">
        <v>14</v>
      </c>
    </row>
    <row r="19" spans="1:9" s="24" customFormat="1" x14ac:dyDescent="0.2">
      <c r="A19" s="20" t="s">
        <v>299</v>
      </c>
      <c r="B19" s="20"/>
      <c r="C19" s="21">
        <v>25</v>
      </c>
    </row>
    <row r="20" spans="1:9" s="24" customFormat="1" x14ac:dyDescent="0.2">
      <c r="A20" s="20" t="s">
        <v>295</v>
      </c>
      <c r="B20" s="20"/>
      <c r="C20" s="21">
        <v>125</v>
      </c>
    </row>
    <row r="21" spans="1:9" s="26" customFormat="1" x14ac:dyDescent="0.2">
      <c r="A21" s="29"/>
      <c r="B21" s="29"/>
      <c r="C21" s="30"/>
      <c r="F21" s="24"/>
      <c r="G21" s="24"/>
      <c r="H21" s="24"/>
      <c r="I21" s="24"/>
    </row>
    <row r="22" spans="1:9" s="26" customFormat="1" x14ac:dyDescent="0.2">
      <c r="A22" s="32" t="s">
        <v>13</v>
      </c>
      <c r="B22" s="25"/>
      <c r="C22" s="27"/>
      <c r="F22" s="24"/>
      <c r="G22" s="24"/>
      <c r="H22" s="24"/>
      <c r="I22" s="24"/>
    </row>
    <row r="23" spans="1:9" s="24" customFormat="1" x14ac:dyDescent="0.2">
      <c r="A23" s="20" t="s">
        <v>300</v>
      </c>
      <c r="B23" s="20"/>
      <c r="C23" s="21">
        <v>252.39</v>
      </c>
    </row>
    <row r="24" spans="1:9" s="26" customFormat="1" x14ac:dyDescent="0.2">
      <c r="A24" s="20" t="s">
        <v>34</v>
      </c>
      <c r="B24" s="20"/>
      <c r="C24" s="21">
        <v>488.22</v>
      </c>
      <c r="F24" s="24"/>
      <c r="G24" s="24"/>
      <c r="H24" s="24"/>
      <c r="I24" s="24"/>
    </row>
    <row r="25" spans="1:9" s="24" customFormat="1" x14ac:dyDescent="0.2">
      <c r="A25" s="20" t="s">
        <v>303</v>
      </c>
      <c r="B25" s="20"/>
      <c r="C25" s="21">
        <v>311.55</v>
      </c>
    </row>
    <row r="26" spans="1:9" s="24" customFormat="1" x14ac:dyDescent="0.2">
      <c r="A26" s="20" t="s">
        <v>76</v>
      </c>
      <c r="B26" s="20"/>
      <c r="C26" s="21">
        <v>14.99</v>
      </c>
    </row>
    <row r="27" spans="1:9" s="24" customFormat="1" x14ac:dyDescent="0.2">
      <c r="A27" s="20" t="s">
        <v>79</v>
      </c>
      <c r="B27" s="20"/>
      <c r="C27" s="21">
        <v>142</v>
      </c>
    </row>
    <row r="28" spans="1:9" s="24" customFormat="1" x14ac:dyDescent="0.2">
      <c r="A28" s="20" t="s">
        <v>290</v>
      </c>
      <c r="B28" s="20"/>
      <c r="C28" s="21">
        <v>125</v>
      </c>
    </row>
    <row r="29" spans="1:9" s="24" customFormat="1" x14ac:dyDescent="0.2">
      <c r="A29" s="20" t="s">
        <v>75</v>
      </c>
      <c r="B29" s="20"/>
      <c r="C29" s="21">
        <v>256.22000000000003</v>
      </c>
    </row>
    <row r="30" spans="1:9" s="24" customFormat="1" x14ac:dyDescent="0.2">
      <c r="A30" s="20" t="s">
        <v>78</v>
      </c>
      <c r="B30" s="20"/>
      <c r="C30" s="21">
        <v>71.77</v>
      </c>
    </row>
    <row r="31" spans="1:9" s="24" customFormat="1" x14ac:dyDescent="0.2">
      <c r="A31" s="20" t="s">
        <v>267</v>
      </c>
      <c r="B31" s="20"/>
      <c r="C31" s="55">
        <v>26.13</v>
      </c>
    </row>
    <row r="32" spans="1:9" s="24" customFormat="1" x14ac:dyDescent="0.2">
      <c r="A32" s="20" t="s">
        <v>301</v>
      </c>
      <c r="B32" s="20"/>
      <c r="C32" s="55">
        <v>62</v>
      </c>
    </row>
    <row r="33" spans="1:6" s="24" customFormat="1" x14ac:dyDescent="0.2">
      <c r="A33" s="20" t="s">
        <v>266</v>
      </c>
      <c r="B33" s="20"/>
      <c r="C33" s="21">
        <v>28.52</v>
      </c>
    </row>
    <row r="34" spans="1:6" s="24" customFormat="1" x14ac:dyDescent="0.2">
      <c r="A34" s="20" t="s">
        <v>302</v>
      </c>
      <c r="B34" s="20"/>
      <c r="C34" s="55">
        <v>166.1</v>
      </c>
    </row>
    <row r="35" spans="1:6" s="26" customFormat="1" x14ac:dyDescent="0.2">
      <c r="A35" s="14"/>
      <c r="B35" s="14"/>
      <c r="C35" s="14"/>
      <c r="F35" s="35"/>
    </row>
    <row r="37" spans="1:6" x14ac:dyDescent="0.2">
      <c r="A37" s="4" t="s">
        <v>288</v>
      </c>
      <c r="B37" s="4">
        <v>1829.34</v>
      </c>
    </row>
    <row r="38" spans="1:6" s="26" customFormat="1" x14ac:dyDescent="0.2">
      <c r="A38" s="4" t="s">
        <v>304</v>
      </c>
      <c r="B38" s="4">
        <v>486.52</v>
      </c>
    </row>
    <row r="39" spans="1:6" s="26" customFormat="1" x14ac:dyDescent="0.2">
      <c r="A39" s="4" t="s">
        <v>289</v>
      </c>
      <c r="B39" s="4">
        <v>346.19</v>
      </c>
    </row>
    <row r="40" spans="1:6" x14ac:dyDescent="0.2">
      <c r="A40" s="25" t="s">
        <v>305</v>
      </c>
      <c r="B40" s="25">
        <v>1449.5</v>
      </c>
      <c r="C40" s="26"/>
    </row>
    <row r="41" spans="1:6" x14ac:dyDescent="0.2">
      <c r="A41" s="24" t="s">
        <v>306</v>
      </c>
      <c r="B41" s="24">
        <v>4062.05</v>
      </c>
      <c r="C41" s="26"/>
    </row>
    <row r="42" spans="1:6" x14ac:dyDescent="0.2">
      <c r="A42" s="26"/>
      <c r="B42" s="44"/>
    </row>
    <row r="43" spans="1:6" x14ac:dyDescent="0.2">
      <c r="A43" s="26"/>
      <c r="B43" s="44"/>
    </row>
    <row r="44" spans="1:6" x14ac:dyDescent="0.2">
      <c r="A44" s="26"/>
      <c r="B44" s="44"/>
    </row>
    <row r="45" spans="1:6" x14ac:dyDescent="0.2">
      <c r="A45" s="54"/>
      <c r="B45" s="44"/>
    </row>
    <row r="46" spans="1:6" x14ac:dyDescent="0.2">
      <c r="A46" s="54"/>
      <c r="B46" s="44"/>
    </row>
    <row r="47" spans="1:6" x14ac:dyDescent="0.2">
      <c r="A47" s="54"/>
      <c r="B47" s="44"/>
    </row>
    <row r="48" spans="1:6" x14ac:dyDescent="0.2">
      <c r="A48" s="54"/>
      <c r="B48" s="44"/>
    </row>
    <row r="49" spans="1:2" x14ac:dyDescent="0.2">
      <c r="A49" s="54"/>
      <c r="B49" s="44"/>
    </row>
    <row r="50" spans="1:2" x14ac:dyDescent="0.2">
      <c r="A50" s="54"/>
      <c r="B50" s="44"/>
    </row>
    <row r="51" spans="1:2" x14ac:dyDescent="0.2">
      <c r="A51" s="54"/>
      <c r="B51" s="44"/>
    </row>
    <row r="52" spans="1:2" x14ac:dyDescent="0.2">
      <c r="A52" s="44"/>
      <c r="B52" s="44"/>
    </row>
    <row r="53" spans="1:2" x14ac:dyDescent="0.2">
      <c r="A53" s="26"/>
      <c r="B53" s="26"/>
    </row>
    <row r="54" spans="1:2" x14ac:dyDescent="0.2">
      <c r="A54" s="26"/>
      <c r="B54" s="26"/>
    </row>
    <row r="55" spans="1:2" x14ac:dyDescent="0.2">
      <c r="A55" s="26"/>
      <c r="B55" s="26"/>
    </row>
    <row r="56" spans="1:2" x14ac:dyDescent="0.2">
      <c r="A56" s="26"/>
      <c r="B56" s="26"/>
    </row>
    <row r="57" spans="1:2" x14ac:dyDescent="0.2">
      <c r="A57" s="26"/>
      <c r="B57" s="26"/>
    </row>
  </sheetData>
  <pageMargins left="0.7" right="0.7" top="0.75" bottom="0.75" header="0.3" footer="0.3"/>
  <pageSetup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55"/>
  <sheetViews>
    <sheetView workbookViewId="0">
      <selection activeCell="A28" sqref="A28:XFD28"/>
    </sheetView>
  </sheetViews>
  <sheetFormatPr baseColWidth="10" defaultColWidth="8.83203125" defaultRowHeight="15" x14ac:dyDescent="0.2"/>
  <cols>
    <col min="1" max="1" width="44.5" bestFit="1" customWidth="1"/>
    <col min="2" max="2" width="16.164062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8" bestFit="1" customWidth="1"/>
    <col min="8" max="8" width="25.83203125" bestFit="1" customWidth="1"/>
    <col min="9" max="10" width="12.1640625" customWidth="1"/>
    <col min="12" max="12" width="34.5" customWidth="1"/>
    <col min="14" max="14" width="19.33203125" bestFit="1" customWidth="1"/>
    <col min="16" max="16" width="20.5" bestFit="1" customWidth="1"/>
  </cols>
  <sheetData>
    <row r="1" spans="1:9" ht="21" x14ac:dyDescent="0.25">
      <c r="A1" s="1" t="s">
        <v>286</v>
      </c>
    </row>
    <row r="2" spans="1:9" x14ac:dyDescent="0.2">
      <c r="A2" s="56" t="s">
        <v>261</v>
      </c>
      <c r="B2" s="57" t="s">
        <v>263</v>
      </c>
      <c r="C2" s="56" t="s">
        <v>264</v>
      </c>
      <c r="D2" s="56"/>
      <c r="E2" s="56" t="s">
        <v>273</v>
      </c>
    </row>
    <row r="3" spans="1:9" x14ac:dyDescent="0.2">
      <c r="A3" s="26" t="s">
        <v>262</v>
      </c>
      <c r="B3" s="51">
        <v>1732.73</v>
      </c>
      <c r="C3" s="51">
        <v>1732.73</v>
      </c>
      <c r="D3" s="26"/>
      <c r="E3">
        <v>674.15</v>
      </c>
      <c r="F3" s="26"/>
    </row>
    <row r="4" spans="1:9" x14ac:dyDescent="0.2">
      <c r="A4" s="26" t="s">
        <v>265</v>
      </c>
      <c r="B4">
        <v>982.82</v>
      </c>
      <c r="C4">
        <v>982.82</v>
      </c>
      <c r="D4" s="26"/>
      <c r="E4">
        <v>775.36</v>
      </c>
      <c r="F4" s="26"/>
    </row>
    <row r="5" spans="1:9" s="26" customFormat="1" x14ac:dyDescent="0.2">
      <c r="A5" s="43"/>
      <c r="B5" s="43"/>
      <c r="C5" s="43"/>
      <c r="D5" s="43"/>
      <c r="E5" s="43"/>
    </row>
    <row r="6" spans="1:9" s="26" customFormat="1" x14ac:dyDescent="0.2">
      <c r="A6" s="43"/>
      <c r="B6" s="43"/>
      <c r="C6" s="43"/>
      <c r="D6" s="43"/>
      <c r="E6" s="43"/>
    </row>
    <row r="7" spans="1:9" s="26" customFormat="1" x14ac:dyDescent="0.2">
      <c r="A7" s="32" t="s">
        <v>1</v>
      </c>
      <c r="B7" s="25"/>
      <c r="C7" s="32" t="s">
        <v>282</v>
      </c>
    </row>
    <row r="8" spans="1:9" s="26" customFormat="1" x14ac:dyDescent="0.2">
      <c r="A8" s="32" t="s">
        <v>12</v>
      </c>
      <c r="B8" s="25"/>
      <c r="C8" s="32"/>
    </row>
    <row r="9" spans="1:9" s="24" customFormat="1" x14ac:dyDescent="0.2">
      <c r="A9" s="20" t="s">
        <v>293</v>
      </c>
      <c r="B9" s="20"/>
      <c r="C9" s="53">
        <v>1131.6099999999999</v>
      </c>
    </row>
    <row r="10" spans="1:9" s="24" customFormat="1" x14ac:dyDescent="0.2">
      <c r="A10" s="20" t="s">
        <v>60</v>
      </c>
      <c r="B10" s="20"/>
      <c r="C10" s="20">
        <v>110.14</v>
      </c>
      <c r="H10" s="50"/>
    </row>
    <row r="11" spans="1:9" s="24" customFormat="1" x14ac:dyDescent="0.2">
      <c r="A11" s="20" t="s">
        <v>292</v>
      </c>
      <c r="B11" s="20"/>
      <c r="C11" s="21">
        <v>125</v>
      </c>
      <c r="I11" s="26"/>
    </row>
    <row r="12" spans="1:9" s="24" customFormat="1" x14ac:dyDescent="0.2">
      <c r="A12" s="20" t="s">
        <v>296</v>
      </c>
      <c r="B12" s="20"/>
      <c r="C12" s="21">
        <v>152.83000000000001</v>
      </c>
      <c r="H12" s="50"/>
    </row>
    <row r="13" spans="1:9" s="24" customFormat="1" x14ac:dyDescent="0.2">
      <c r="A13" s="20" t="s">
        <v>297</v>
      </c>
      <c r="B13" s="20"/>
      <c r="C13" s="21">
        <v>207.82</v>
      </c>
    </row>
    <row r="14" spans="1:9" s="24" customFormat="1" x14ac:dyDescent="0.2">
      <c r="A14" s="20" t="s">
        <v>291</v>
      </c>
      <c r="B14" s="20"/>
      <c r="C14" s="21">
        <v>125</v>
      </c>
      <c r="H14" s="26"/>
      <c r="I14" s="26"/>
    </row>
    <row r="15" spans="1:9" s="24" customFormat="1" x14ac:dyDescent="0.2">
      <c r="A15" s="20" t="s">
        <v>298</v>
      </c>
      <c r="B15" s="20"/>
      <c r="C15" s="21">
        <v>25</v>
      </c>
    </row>
    <row r="16" spans="1:9" s="24" customFormat="1" x14ac:dyDescent="0.2">
      <c r="A16" s="20" t="s">
        <v>294</v>
      </c>
      <c r="B16" s="20"/>
      <c r="C16" s="21">
        <v>14</v>
      </c>
    </row>
    <row r="17" spans="1:3" s="24" customFormat="1" x14ac:dyDescent="0.2">
      <c r="A17" s="20" t="s">
        <v>299</v>
      </c>
      <c r="B17" s="20"/>
      <c r="C17" s="21">
        <v>25</v>
      </c>
    </row>
    <row r="18" spans="1:3" s="24" customFormat="1" x14ac:dyDescent="0.2">
      <c r="A18" s="20" t="s">
        <v>295</v>
      </c>
      <c r="B18" s="20"/>
      <c r="C18" s="21">
        <v>125</v>
      </c>
    </row>
    <row r="19" spans="1:3" s="26" customFormat="1" x14ac:dyDescent="0.2">
      <c r="A19" s="29"/>
      <c r="B19" s="29"/>
      <c r="C19" s="30"/>
    </row>
    <row r="20" spans="1:3" s="26" customFormat="1" x14ac:dyDescent="0.2">
      <c r="A20" s="32" t="s">
        <v>13</v>
      </c>
      <c r="B20" s="25"/>
      <c r="C20" s="27"/>
    </row>
    <row r="21" spans="1:3" s="24" customFormat="1" x14ac:dyDescent="0.2">
      <c r="A21" s="20" t="s">
        <v>300</v>
      </c>
      <c r="B21" s="20"/>
      <c r="C21" s="21">
        <v>252.39</v>
      </c>
    </row>
    <row r="22" spans="1:3" s="24" customFormat="1" x14ac:dyDescent="0.2">
      <c r="A22" s="20" t="s">
        <v>34</v>
      </c>
      <c r="B22" s="20"/>
      <c r="C22" s="21">
        <v>488.22</v>
      </c>
    </row>
    <row r="23" spans="1:3" s="24" customFormat="1" x14ac:dyDescent="0.2">
      <c r="A23" s="20" t="s">
        <v>16</v>
      </c>
      <c r="B23" s="20"/>
      <c r="C23" s="21">
        <v>311.55</v>
      </c>
    </row>
    <row r="24" spans="1:3" s="24" customFormat="1" x14ac:dyDescent="0.2">
      <c r="A24" s="20" t="s">
        <v>76</v>
      </c>
      <c r="B24" s="20"/>
      <c r="C24" s="21">
        <v>14.99</v>
      </c>
    </row>
    <row r="25" spans="1:3" s="24" customFormat="1" x14ac:dyDescent="0.2">
      <c r="A25" s="20" t="s">
        <v>79</v>
      </c>
      <c r="B25" s="20"/>
      <c r="C25" s="21">
        <v>142</v>
      </c>
    </row>
    <row r="26" spans="1:3" s="24" customFormat="1" x14ac:dyDescent="0.2">
      <c r="A26" s="20" t="s">
        <v>290</v>
      </c>
      <c r="B26" s="20"/>
      <c r="C26" s="21">
        <v>125</v>
      </c>
    </row>
    <row r="27" spans="1:3" s="24" customFormat="1" x14ac:dyDescent="0.2">
      <c r="A27" s="20" t="s">
        <v>75</v>
      </c>
      <c r="B27" s="20"/>
      <c r="C27" s="21">
        <v>256.22000000000003</v>
      </c>
    </row>
    <row r="28" spans="1:3" s="24" customFormat="1" x14ac:dyDescent="0.2">
      <c r="A28" s="20" t="s">
        <v>78</v>
      </c>
      <c r="B28" s="20"/>
      <c r="C28" s="21">
        <v>71.77</v>
      </c>
    </row>
    <row r="29" spans="1:3" s="24" customFormat="1" x14ac:dyDescent="0.2">
      <c r="A29" s="20" t="s">
        <v>267</v>
      </c>
      <c r="B29" s="20"/>
      <c r="C29" s="55">
        <v>31</v>
      </c>
    </row>
    <row r="30" spans="1:3" s="24" customFormat="1" x14ac:dyDescent="0.2">
      <c r="A30" s="20" t="s">
        <v>301</v>
      </c>
      <c r="B30" s="20"/>
      <c r="C30" s="55">
        <v>60.93</v>
      </c>
    </row>
    <row r="31" spans="1:3" s="24" customFormat="1" x14ac:dyDescent="0.2">
      <c r="A31" s="20" t="s">
        <v>266</v>
      </c>
      <c r="B31" s="20"/>
      <c r="C31" s="21">
        <v>22</v>
      </c>
    </row>
    <row r="32" spans="1:3" s="24" customFormat="1" x14ac:dyDescent="0.2">
      <c r="A32" s="20" t="s">
        <v>302</v>
      </c>
      <c r="B32" s="20"/>
      <c r="C32" s="55">
        <v>169.66</v>
      </c>
    </row>
    <row r="33" spans="1:6" s="26" customFormat="1" x14ac:dyDescent="0.2">
      <c r="A33" s="14"/>
      <c r="B33" s="14"/>
      <c r="C33" s="14"/>
      <c r="F33" s="35"/>
    </row>
    <row r="35" spans="1:6" x14ac:dyDescent="0.2">
      <c r="A35" s="26"/>
      <c r="B35" s="26"/>
    </row>
    <row r="36" spans="1:6" s="26" customFormat="1" x14ac:dyDescent="0.2"/>
    <row r="37" spans="1:6" s="26" customFormat="1" x14ac:dyDescent="0.2"/>
    <row r="38" spans="1:6" x14ac:dyDescent="0.2">
      <c r="A38" s="26"/>
      <c r="B38" s="44"/>
      <c r="C38" s="26"/>
    </row>
    <row r="39" spans="1:6" x14ac:dyDescent="0.2">
      <c r="A39" s="26"/>
      <c r="B39" s="44"/>
      <c r="C39" s="26"/>
    </row>
    <row r="40" spans="1:6" x14ac:dyDescent="0.2">
      <c r="A40" s="26"/>
      <c r="B40" s="44"/>
    </row>
    <row r="41" spans="1:6" x14ac:dyDescent="0.2">
      <c r="A41" s="26"/>
      <c r="B41" s="44"/>
    </row>
    <row r="42" spans="1:6" x14ac:dyDescent="0.2">
      <c r="A42" s="26"/>
      <c r="B42" s="44"/>
    </row>
    <row r="43" spans="1:6" x14ac:dyDescent="0.2">
      <c r="A43" s="54"/>
      <c r="B43" s="44"/>
    </row>
    <row r="44" spans="1:6" x14ac:dyDescent="0.2">
      <c r="A44" s="54"/>
      <c r="B44" s="44"/>
    </row>
    <row r="45" spans="1:6" x14ac:dyDescent="0.2">
      <c r="A45" s="54"/>
      <c r="B45" s="44"/>
    </row>
    <row r="46" spans="1:6" x14ac:dyDescent="0.2">
      <c r="A46" s="54"/>
      <c r="B46" s="44"/>
    </row>
    <row r="47" spans="1:6" x14ac:dyDescent="0.2">
      <c r="A47" s="54"/>
      <c r="B47" s="44"/>
    </row>
    <row r="48" spans="1:6" x14ac:dyDescent="0.2">
      <c r="A48" s="54"/>
      <c r="B48" s="44"/>
    </row>
    <row r="49" spans="1:2" x14ac:dyDescent="0.2">
      <c r="A49" s="54"/>
      <c r="B49" s="44"/>
    </row>
    <row r="50" spans="1:2" x14ac:dyDescent="0.2">
      <c r="A50" s="44"/>
      <c r="B50" s="44"/>
    </row>
    <row r="51" spans="1:2" x14ac:dyDescent="0.2">
      <c r="A51" s="26"/>
      <c r="B51" s="26"/>
    </row>
    <row r="52" spans="1:2" x14ac:dyDescent="0.2">
      <c r="A52" s="26"/>
      <c r="B52" s="26"/>
    </row>
    <row r="53" spans="1:2" x14ac:dyDescent="0.2">
      <c r="A53" s="26"/>
      <c r="B53" s="26"/>
    </row>
    <row r="54" spans="1:2" x14ac:dyDescent="0.2">
      <c r="A54" s="26"/>
      <c r="B54" s="26"/>
    </row>
    <row r="55" spans="1:2" x14ac:dyDescent="0.2">
      <c r="A55" s="26"/>
      <c r="B55" s="26"/>
    </row>
  </sheetData>
  <pageMargins left="0.7" right="0.7" top="0.75" bottom="0.75" header="0.3" footer="0.3"/>
  <pageSetup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55"/>
  <sheetViews>
    <sheetView workbookViewId="0">
      <selection activeCell="A23" sqref="A23:C23"/>
    </sheetView>
  </sheetViews>
  <sheetFormatPr baseColWidth="10" defaultColWidth="8.83203125" defaultRowHeight="15" x14ac:dyDescent="0.2"/>
  <cols>
    <col min="1" max="1" width="44.5" bestFit="1" customWidth="1"/>
    <col min="2" max="2" width="16.164062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8" bestFit="1" customWidth="1"/>
    <col min="8" max="8" width="25.83203125" bestFit="1" customWidth="1"/>
    <col min="9" max="9" width="7" bestFit="1" customWidth="1"/>
    <col min="10" max="10" width="15.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8" ht="21" x14ac:dyDescent="0.25">
      <c r="A1" s="1" t="s">
        <v>284</v>
      </c>
    </row>
    <row r="2" spans="1:8" x14ac:dyDescent="0.2">
      <c r="A2" s="56" t="s">
        <v>261</v>
      </c>
      <c r="B2" s="57" t="s">
        <v>263</v>
      </c>
      <c r="C2" s="56" t="s">
        <v>264</v>
      </c>
      <c r="D2" s="56"/>
      <c r="E2" s="56" t="s">
        <v>273</v>
      </c>
    </row>
    <row r="3" spans="1:8" x14ac:dyDescent="0.2">
      <c r="A3" s="26" t="s">
        <v>262</v>
      </c>
      <c r="B3" s="51">
        <v>1732.73</v>
      </c>
      <c r="C3" s="51">
        <v>1732.73</v>
      </c>
      <c r="D3" s="26"/>
      <c r="E3">
        <v>674.15</v>
      </c>
      <c r="F3" s="26"/>
    </row>
    <row r="4" spans="1:8" x14ac:dyDescent="0.2">
      <c r="A4" s="26" t="s">
        <v>265</v>
      </c>
      <c r="B4">
        <v>982.82</v>
      </c>
      <c r="C4">
        <v>982.82</v>
      </c>
      <c r="D4" s="26"/>
      <c r="E4">
        <v>775.36</v>
      </c>
      <c r="F4" s="26"/>
    </row>
    <row r="5" spans="1:8" s="26" customFormat="1" x14ac:dyDescent="0.2">
      <c r="A5" s="43"/>
      <c r="B5" s="43"/>
      <c r="C5" s="43"/>
      <c r="D5" s="43"/>
      <c r="E5" s="43"/>
    </row>
    <row r="6" spans="1:8" s="26" customFormat="1" x14ac:dyDescent="0.2">
      <c r="A6" s="43"/>
      <c r="B6" s="43"/>
      <c r="C6" s="43"/>
      <c r="D6" s="43"/>
      <c r="E6" s="43"/>
    </row>
    <row r="7" spans="1:8" s="26" customFormat="1" x14ac:dyDescent="0.2">
      <c r="A7" s="32" t="s">
        <v>1</v>
      </c>
      <c r="B7" s="25"/>
      <c r="C7" s="32" t="s">
        <v>282</v>
      </c>
    </row>
    <row r="8" spans="1:8" s="26" customFormat="1" x14ac:dyDescent="0.2">
      <c r="A8" s="32" t="s">
        <v>12</v>
      </c>
      <c r="B8" s="25"/>
      <c r="C8" s="32"/>
    </row>
    <row r="9" spans="1:8" s="24" customFormat="1" x14ac:dyDescent="0.2">
      <c r="A9" s="20" t="s">
        <v>224</v>
      </c>
      <c r="B9" s="20"/>
      <c r="C9" s="53">
        <v>1131.6099999999999</v>
      </c>
    </row>
    <row r="10" spans="1:8" s="24" customFormat="1" x14ac:dyDescent="0.2">
      <c r="A10" s="20" t="s">
        <v>60</v>
      </c>
      <c r="B10" s="20"/>
      <c r="C10" s="20">
        <v>110.14</v>
      </c>
    </row>
    <row r="11" spans="1:8" s="24" customFormat="1" x14ac:dyDescent="0.2">
      <c r="A11" s="20" t="s">
        <v>182</v>
      </c>
      <c r="B11" s="20"/>
      <c r="C11" s="21">
        <v>125</v>
      </c>
    </row>
    <row r="12" spans="1:8" s="24" customFormat="1" x14ac:dyDescent="0.2">
      <c r="A12" s="20" t="s">
        <v>210</v>
      </c>
      <c r="B12" s="20"/>
      <c r="C12" s="21">
        <v>152.83000000000001</v>
      </c>
      <c r="H12" s="50"/>
    </row>
    <row r="13" spans="1:8" s="24" customFormat="1" x14ac:dyDescent="0.2">
      <c r="A13" s="20" t="s">
        <v>211</v>
      </c>
      <c r="B13" s="20"/>
      <c r="C13" s="21">
        <v>207.82</v>
      </c>
      <c r="H13" s="50"/>
    </row>
    <row r="14" spans="1:8" s="24" customFormat="1" x14ac:dyDescent="0.2">
      <c r="A14" s="20" t="s">
        <v>183</v>
      </c>
      <c r="B14" s="20"/>
      <c r="C14" s="21">
        <v>125</v>
      </c>
    </row>
    <row r="15" spans="1:8" s="24" customFormat="1" x14ac:dyDescent="0.2">
      <c r="A15" s="20" t="s">
        <v>281</v>
      </c>
      <c r="B15" s="20"/>
      <c r="C15" s="21">
        <v>25</v>
      </c>
    </row>
    <row r="16" spans="1:8" s="24" customFormat="1" x14ac:dyDescent="0.2">
      <c r="A16" s="20" t="s">
        <v>260</v>
      </c>
      <c r="B16" s="20"/>
      <c r="C16" s="21">
        <v>14</v>
      </c>
    </row>
    <row r="17" spans="1:3" s="24" customFormat="1" x14ac:dyDescent="0.2">
      <c r="A17" s="20" t="s">
        <v>214</v>
      </c>
      <c r="B17" s="20"/>
      <c r="C17" s="21">
        <v>25</v>
      </c>
    </row>
    <row r="18" spans="1:3" s="24" customFormat="1" x14ac:dyDescent="0.2">
      <c r="A18" s="20" t="s">
        <v>184</v>
      </c>
      <c r="B18" s="20"/>
      <c r="C18" s="21">
        <v>125</v>
      </c>
    </row>
    <row r="19" spans="1:3" s="26" customFormat="1" x14ac:dyDescent="0.2">
      <c r="A19" s="29"/>
      <c r="B19" s="29"/>
      <c r="C19" s="30"/>
    </row>
    <row r="20" spans="1:3" s="26" customFormat="1" x14ac:dyDescent="0.2">
      <c r="A20" s="32" t="s">
        <v>13</v>
      </c>
      <c r="B20" s="25"/>
      <c r="C20" s="27"/>
    </row>
    <row r="21" spans="1:3" s="24" customFormat="1" x14ac:dyDescent="0.2">
      <c r="A21" s="20" t="s">
        <v>225</v>
      </c>
      <c r="B21" s="20"/>
      <c r="C21" s="21">
        <v>252.39</v>
      </c>
    </row>
    <row r="22" spans="1:3" s="24" customFormat="1" x14ac:dyDescent="0.2">
      <c r="A22" s="20" t="s">
        <v>72</v>
      </c>
      <c r="B22" s="20"/>
      <c r="C22" s="21">
        <v>488.22</v>
      </c>
    </row>
    <row r="23" spans="1:3" s="24" customFormat="1" x14ac:dyDescent="0.2">
      <c r="A23" s="20" t="s">
        <v>73</v>
      </c>
      <c r="B23" s="20"/>
      <c r="C23" s="21">
        <v>311.55</v>
      </c>
    </row>
    <row r="24" spans="1:3" s="24" customFormat="1" x14ac:dyDescent="0.2">
      <c r="A24" s="20" t="s">
        <v>18</v>
      </c>
      <c r="B24" s="20"/>
      <c r="C24" s="21">
        <v>14.99</v>
      </c>
    </row>
    <row r="25" spans="1:3" s="24" customFormat="1" x14ac:dyDescent="0.2">
      <c r="A25" s="20" t="s">
        <v>79</v>
      </c>
      <c r="B25" s="20"/>
      <c r="C25" s="21">
        <v>142</v>
      </c>
    </row>
    <row r="26" spans="1:3" s="24" customFormat="1" x14ac:dyDescent="0.2">
      <c r="A26" s="20" t="s">
        <v>185</v>
      </c>
      <c r="B26" s="20"/>
      <c r="C26" s="21">
        <v>125</v>
      </c>
    </row>
    <row r="27" spans="1:3" s="24" customFormat="1" x14ac:dyDescent="0.2">
      <c r="A27" s="20" t="s">
        <v>75</v>
      </c>
      <c r="B27" s="20"/>
      <c r="C27" s="21">
        <v>256.22000000000003</v>
      </c>
    </row>
    <row r="28" spans="1:3" s="24" customFormat="1" x14ac:dyDescent="0.2">
      <c r="A28" s="20" t="s">
        <v>78</v>
      </c>
      <c r="B28" s="20"/>
      <c r="C28" s="21">
        <v>71.77</v>
      </c>
    </row>
    <row r="29" spans="1:3" s="24" customFormat="1" x14ac:dyDescent="0.2">
      <c r="A29" s="20" t="s">
        <v>267</v>
      </c>
      <c r="B29" s="20"/>
      <c r="C29" s="55">
        <v>29</v>
      </c>
    </row>
    <row r="30" spans="1:3" s="24" customFormat="1" x14ac:dyDescent="0.2">
      <c r="A30" s="20" t="s">
        <v>272</v>
      </c>
      <c r="B30" s="20"/>
      <c r="C30" s="55">
        <v>61.33</v>
      </c>
    </row>
    <row r="31" spans="1:3" s="24" customFormat="1" x14ac:dyDescent="0.2">
      <c r="A31" s="20" t="s">
        <v>266</v>
      </c>
      <c r="B31" s="20"/>
      <c r="C31" s="21">
        <v>23</v>
      </c>
    </row>
    <row r="32" spans="1:3" s="24" customFormat="1" x14ac:dyDescent="0.2">
      <c r="A32" s="20" t="s">
        <v>274</v>
      </c>
      <c r="B32" s="20"/>
      <c r="C32" s="55">
        <v>164.72</v>
      </c>
    </row>
    <row r="33" spans="1:6" s="26" customFormat="1" x14ac:dyDescent="0.2">
      <c r="A33" s="14"/>
      <c r="B33" s="14"/>
      <c r="C33" s="14"/>
      <c r="F33" s="35"/>
    </row>
    <row r="35" spans="1:6" x14ac:dyDescent="0.2">
      <c r="A35" s="62" t="s">
        <v>285</v>
      </c>
      <c r="B35" s="63"/>
    </row>
    <row r="36" spans="1:6" s="26" customFormat="1" x14ac:dyDescent="0.2">
      <c r="A36" s="61" t="s">
        <v>263</v>
      </c>
      <c r="B36" s="27">
        <v>1455.12</v>
      </c>
    </row>
    <row r="37" spans="1:6" s="26" customFormat="1" x14ac:dyDescent="0.2">
      <c r="A37" s="61" t="s">
        <v>264</v>
      </c>
      <c r="B37" s="27">
        <v>183.69</v>
      </c>
    </row>
    <row r="38" spans="1:6" x14ac:dyDescent="0.2">
      <c r="A38" s="26"/>
      <c r="B38" s="44"/>
      <c r="C38" s="26"/>
    </row>
    <row r="39" spans="1:6" x14ac:dyDescent="0.2">
      <c r="A39" s="26"/>
      <c r="B39" s="44"/>
      <c r="C39" s="26"/>
    </row>
    <row r="40" spans="1:6" x14ac:dyDescent="0.2">
      <c r="A40" s="26"/>
      <c r="B40" s="44"/>
    </row>
    <row r="41" spans="1:6" x14ac:dyDescent="0.2">
      <c r="A41" s="26"/>
      <c r="B41" s="44"/>
    </row>
    <row r="42" spans="1:6" x14ac:dyDescent="0.2">
      <c r="A42" s="26"/>
      <c r="B42" s="44"/>
    </row>
    <row r="43" spans="1:6" x14ac:dyDescent="0.2">
      <c r="A43" s="54"/>
      <c r="B43" s="44"/>
    </row>
    <row r="44" spans="1:6" x14ac:dyDescent="0.2">
      <c r="A44" s="54"/>
      <c r="B44" s="44"/>
    </row>
    <row r="45" spans="1:6" x14ac:dyDescent="0.2">
      <c r="A45" s="54"/>
      <c r="B45" s="44"/>
    </row>
    <row r="46" spans="1:6" x14ac:dyDescent="0.2">
      <c r="A46" s="54"/>
      <c r="B46" s="44"/>
    </row>
    <row r="47" spans="1:6" x14ac:dyDescent="0.2">
      <c r="A47" s="54"/>
      <c r="B47" s="44"/>
    </row>
    <row r="48" spans="1:6" x14ac:dyDescent="0.2">
      <c r="A48" s="54"/>
      <c r="B48" s="44"/>
    </row>
    <row r="49" spans="1:2" x14ac:dyDescent="0.2">
      <c r="A49" s="54"/>
      <c r="B49" s="44"/>
    </row>
    <row r="50" spans="1:2" x14ac:dyDescent="0.2">
      <c r="A50" s="44"/>
      <c r="B50" s="44"/>
    </row>
    <row r="51" spans="1:2" x14ac:dyDescent="0.2">
      <c r="A51" s="26"/>
      <c r="B51" s="26"/>
    </row>
    <row r="52" spans="1:2" x14ac:dyDescent="0.2">
      <c r="A52" s="26"/>
      <c r="B52" s="26"/>
    </row>
    <row r="53" spans="1:2" x14ac:dyDescent="0.2">
      <c r="A53" s="26"/>
      <c r="B53" s="26"/>
    </row>
    <row r="54" spans="1:2" x14ac:dyDescent="0.2">
      <c r="A54" s="26"/>
      <c r="B54" s="26"/>
    </row>
    <row r="55" spans="1:2" x14ac:dyDescent="0.2">
      <c r="A55" s="26"/>
      <c r="B55" s="26"/>
    </row>
  </sheetData>
  <pageMargins left="0.7" right="0.7" top="0.75" bottom="0.75" header="0.3" footer="0.3"/>
  <pageSetup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56"/>
  <sheetViews>
    <sheetView workbookViewId="0">
      <selection activeCell="A22" sqref="A22:XFD22"/>
    </sheetView>
  </sheetViews>
  <sheetFormatPr baseColWidth="10" defaultColWidth="8.83203125" defaultRowHeight="15" x14ac:dyDescent="0.2"/>
  <cols>
    <col min="1" max="1" width="44.5" bestFit="1" customWidth="1"/>
    <col min="2" max="2" width="16.1640625" bestFit="1" customWidth="1"/>
    <col min="3" max="3" width="16.83203125" bestFit="1" customWidth="1"/>
    <col min="4" max="4" width="11.33203125" customWidth="1"/>
    <col min="5" max="5" width="20.6640625" bestFit="1" customWidth="1"/>
    <col min="6" max="6" width="39.83203125" bestFit="1" customWidth="1"/>
    <col min="7" max="7" width="8" bestFit="1" customWidth="1"/>
    <col min="8" max="8" width="25.83203125" bestFit="1" customWidth="1"/>
    <col min="9" max="9" width="7" bestFit="1" customWidth="1"/>
    <col min="10" max="10" width="15.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8" ht="21" x14ac:dyDescent="0.25">
      <c r="A1" s="1" t="s">
        <v>280</v>
      </c>
    </row>
    <row r="2" spans="1:8" x14ac:dyDescent="0.2">
      <c r="A2" s="56" t="s">
        <v>261</v>
      </c>
      <c r="B2" s="57" t="s">
        <v>263</v>
      </c>
      <c r="C2" s="56" t="s">
        <v>264</v>
      </c>
      <c r="D2" s="56"/>
      <c r="E2" s="56" t="s">
        <v>273</v>
      </c>
    </row>
    <row r="3" spans="1:8" x14ac:dyDescent="0.2">
      <c r="A3" s="26" t="s">
        <v>262</v>
      </c>
      <c r="B3" s="51">
        <v>1756.29</v>
      </c>
      <c r="C3" s="51">
        <v>1756.29</v>
      </c>
      <c r="D3" s="26"/>
    </row>
    <row r="4" spans="1:8" x14ac:dyDescent="0.2">
      <c r="A4" s="26" t="s">
        <v>265</v>
      </c>
      <c r="B4">
        <v>982.82</v>
      </c>
      <c r="C4">
        <v>982.82</v>
      </c>
      <c r="D4" s="26"/>
    </row>
    <row r="5" spans="1:8" s="26" customFormat="1" x14ac:dyDescent="0.2">
      <c r="A5" s="43"/>
      <c r="B5" s="43"/>
      <c r="C5" s="43"/>
      <c r="D5" s="43"/>
      <c r="E5" s="43"/>
    </row>
    <row r="6" spans="1:8" s="26" customFormat="1" x14ac:dyDescent="0.2">
      <c r="A6" s="43"/>
      <c r="B6" s="43"/>
      <c r="C6" s="43"/>
      <c r="D6" s="43"/>
      <c r="E6" s="43"/>
    </row>
    <row r="7" spans="1:8" s="26" customFormat="1" x14ac:dyDescent="0.2">
      <c r="A7" s="32" t="s">
        <v>1</v>
      </c>
      <c r="B7" s="25"/>
      <c r="C7" s="32" t="s">
        <v>282</v>
      </c>
    </row>
    <row r="8" spans="1:8" s="26" customFormat="1" x14ac:dyDescent="0.2">
      <c r="A8" s="32" t="s">
        <v>12</v>
      </c>
      <c r="B8" s="25"/>
      <c r="C8" s="32"/>
    </row>
    <row r="9" spans="1:8" s="24" customFormat="1" x14ac:dyDescent="0.2">
      <c r="A9" s="20" t="s">
        <v>224</v>
      </c>
      <c r="B9" s="20"/>
      <c r="C9" s="53">
        <v>1131.6099999999999</v>
      </c>
    </row>
    <row r="10" spans="1:8" s="24" customFormat="1" x14ac:dyDescent="0.2">
      <c r="A10" s="20" t="s">
        <v>60</v>
      </c>
      <c r="B10" s="20"/>
      <c r="C10" s="20">
        <v>110.14</v>
      </c>
    </row>
    <row r="11" spans="1:8" s="24" customFormat="1" x14ac:dyDescent="0.2">
      <c r="A11" s="20" t="s">
        <v>182</v>
      </c>
      <c r="B11" s="20"/>
      <c r="C11" s="21">
        <v>125</v>
      </c>
    </row>
    <row r="12" spans="1:8" s="24" customFormat="1" x14ac:dyDescent="0.2">
      <c r="A12" s="20" t="s">
        <v>210</v>
      </c>
      <c r="B12" s="20"/>
      <c r="C12" s="21">
        <v>152.83000000000001</v>
      </c>
      <c r="H12" s="50"/>
    </row>
    <row r="13" spans="1:8" s="24" customFormat="1" x14ac:dyDescent="0.2">
      <c r="A13" s="20" t="s">
        <v>211</v>
      </c>
      <c r="B13" s="20"/>
      <c r="C13" s="21">
        <v>207.82</v>
      </c>
      <c r="H13" s="50"/>
    </row>
    <row r="14" spans="1:8" s="24" customFormat="1" x14ac:dyDescent="0.2">
      <c r="A14" s="20" t="s">
        <v>183</v>
      </c>
      <c r="B14" s="20"/>
      <c r="C14" s="21">
        <v>125</v>
      </c>
    </row>
    <row r="15" spans="1:8" s="24" customFormat="1" x14ac:dyDescent="0.2">
      <c r="A15" s="20" t="s">
        <v>281</v>
      </c>
      <c r="B15" s="20"/>
      <c r="C15" s="21">
        <v>34</v>
      </c>
    </row>
    <row r="16" spans="1:8" s="24" customFormat="1" x14ac:dyDescent="0.2">
      <c r="A16" s="20" t="s">
        <v>283</v>
      </c>
      <c r="B16" s="20"/>
      <c r="C16" s="21">
        <v>29.99</v>
      </c>
    </row>
    <row r="17" spans="1:3" s="24" customFormat="1" x14ac:dyDescent="0.2">
      <c r="A17" s="20" t="s">
        <v>260</v>
      </c>
      <c r="B17" s="20"/>
      <c r="C17" s="21">
        <v>7.95</v>
      </c>
    </row>
    <row r="18" spans="1:3" s="24" customFormat="1" x14ac:dyDescent="0.2">
      <c r="A18" s="20" t="s">
        <v>214</v>
      </c>
      <c r="B18" s="20"/>
      <c r="C18" s="21">
        <v>25</v>
      </c>
    </row>
    <row r="19" spans="1:3" s="24" customFormat="1" x14ac:dyDescent="0.2">
      <c r="A19" s="20" t="s">
        <v>184</v>
      </c>
      <c r="B19" s="20"/>
      <c r="C19" s="21">
        <v>125</v>
      </c>
    </row>
    <row r="20" spans="1:3" s="26" customFormat="1" x14ac:dyDescent="0.2">
      <c r="A20" s="29"/>
      <c r="B20" s="29"/>
      <c r="C20" s="30"/>
    </row>
    <row r="21" spans="1:3" s="26" customFormat="1" x14ac:dyDescent="0.2">
      <c r="A21" s="32" t="s">
        <v>13</v>
      </c>
      <c r="B21" s="25"/>
      <c r="C21" s="27"/>
    </row>
    <row r="22" spans="1:3" s="24" customFormat="1" x14ac:dyDescent="0.2">
      <c r="A22" s="20" t="s">
        <v>225</v>
      </c>
      <c r="B22" s="20"/>
      <c r="C22" s="21">
        <v>252.39</v>
      </c>
    </row>
    <row r="23" spans="1:3" s="24" customFormat="1" x14ac:dyDescent="0.2">
      <c r="A23" s="20" t="s">
        <v>72</v>
      </c>
      <c r="B23" s="20"/>
      <c r="C23" s="21">
        <v>488.22</v>
      </c>
    </row>
    <row r="24" spans="1:3" s="24" customFormat="1" x14ac:dyDescent="0.2">
      <c r="A24" s="20" t="s">
        <v>73</v>
      </c>
      <c r="B24" s="20"/>
      <c r="C24" s="21">
        <v>311.55</v>
      </c>
    </row>
    <row r="25" spans="1:3" s="24" customFormat="1" x14ac:dyDescent="0.2">
      <c r="A25" s="20" t="s">
        <v>18</v>
      </c>
      <c r="B25" s="20"/>
      <c r="C25" s="21">
        <v>14.99</v>
      </c>
    </row>
    <row r="26" spans="1:3" s="24" customFormat="1" x14ac:dyDescent="0.2">
      <c r="A26" s="20" t="s">
        <v>79</v>
      </c>
      <c r="B26" s="20"/>
      <c r="C26" s="21">
        <v>142</v>
      </c>
    </row>
    <row r="27" spans="1:3" s="24" customFormat="1" x14ac:dyDescent="0.2">
      <c r="A27" s="20" t="s">
        <v>185</v>
      </c>
      <c r="B27" s="20"/>
      <c r="C27" s="21">
        <v>125</v>
      </c>
    </row>
    <row r="28" spans="1:3" s="24" customFormat="1" x14ac:dyDescent="0.2">
      <c r="A28" s="20" t="s">
        <v>75</v>
      </c>
      <c r="B28" s="20"/>
      <c r="C28" s="21">
        <v>256.22000000000003</v>
      </c>
    </row>
    <row r="29" spans="1:3" s="24" customFormat="1" x14ac:dyDescent="0.2">
      <c r="A29" s="20" t="s">
        <v>78</v>
      </c>
      <c r="B29" s="20"/>
      <c r="C29" s="21">
        <v>71.77</v>
      </c>
    </row>
    <row r="30" spans="1:3" s="24" customFormat="1" x14ac:dyDescent="0.2">
      <c r="A30" s="20" t="s">
        <v>267</v>
      </c>
      <c r="B30" s="20"/>
      <c r="C30" s="55">
        <v>34.78</v>
      </c>
    </row>
    <row r="31" spans="1:3" s="24" customFormat="1" x14ac:dyDescent="0.2">
      <c r="A31" s="20" t="s">
        <v>272</v>
      </c>
      <c r="B31" s="20"/>
      <c r="C31" s="55">
        <v>59.57</v>
      </c>
    </row>
    <row r="32" spans="1:3" s="24" customFormat="1" x14ac:dyDescent="0.2">
      <c r="A32" s="20" t="s">
        <v>266</v>
      </c>
      <c r="B32" s="20"/>
      <c r="C32" s="21">
        <v>17</v>
      </c>
    </row>
    <row r="33" spans="1:6" s="24" customFormat="1" x14ac:dyDescent="0.2">
      <c r="A33" s="20" t="s">
        <v>274</v>
      </c>
      <c r="B33" s="20"/>
      <c r="C33" s="55">
        <v>153.78</v>
      </c>
    </row>
    <row r="34" spans="1:6" s="26" customFormat="1" x14ac:dyDescent="0.2">
      <c r="A34" s="14"/>
      <c r="B34" s="14"/>
      <c r="C34" s="14"/>
      <c r="F34" s="35"/>
    </row>
    <row r="36" spans="1:6" x14ac:dyDescent="0.2">
      <c r="A36" s="26"/>
      <c r="B36" s="26"/>
      <c r="C36" s="26"/>
    </row>
    <row r="37" spans="1:6" s="26" customFormat="1" x14ac:dyDescent="0.2">
      <c r="A37" s="26" t="s">
        <v>228</v>
      </c>
      <c r="B37" s="44"/>
    </row>
    <row r="38" spans="1:6" s="26" customFormat="1" x14ac:dyDescent="0.2">
      <c r="A38" s="26" t="s">
        <v>229</v>
      </c>
      <c r="B38" s="44"/>
    </row>
    <row r="39" spans="1:6" x14ac:dyDescent="0.2">
      <c r="A39" s="26"/>
      <c r="B39" s="44"/>
      <c r="C39" s="26"/>
    </row>
    <row r="40" spans="1:6" x14ac:dyDescent="0.2">
      <c r="A40" s="26"/>
      <c r="B40" s="44"/>
      <c r="C40" s="26"/>
    </row>
    <row r="41" spans="1:6" x14ac:dyDescent="0.2">
      <c r="A41" s="26"/>
      <c r="B41" s="44"/>
    </row>
    <row r="42" spans="1:6" x14ac:dyDescent="0.2">
      <c r="A42" s="26"/>
      <c r="B42" s="44"/>
    </row>
    <row r="43" spans="1:6" x14ac:dyDescent="0.2">
      <c r="A43" s="26"/>
      <c r="B43" s="44"/>
    </row>
    <row r="44" spans="1:6" x14ac:dyDescent="0.2">
      <c r="A44" s="54"/>
      <c r="B44" s="44"/>
    </row>
    <row r="45" spans="1:6" x14ac:dyDescent="0.2">
      <c r="A45" s="54"/>
      <c r="B45" s="44"/>
    </row>
    <row r="46" spans="1:6" x14ac:dyDescent="0.2">
      <c r="A46" s="54"/>
      <c r="B46" s="44"/>
    </row>
    <row r="47" spans="1:6" x14ac:dyDescent="0.2">
      <c r="A47" s="54"/>
      <c r="B47" s="44"/>
    </row>
    <row r="48" spans="1:6" x14ac:dyDescent="0.2">
      <c r="A48" s="54"/>
      <c r="B48" s="44"/>
    </row>
    <row r="49" spans="1:2" x14ac:dyDescent="0.2">
      <c r="A49" s="54"/>
      <c r="B49" s="44"/>
    </row>
    <row r="50" spans="1:2" x14ac:dyDescent="0.2">
      <c r="A50" s="54"/>
      <c r="B50" s="44"/>
    </row>
    <row r="51" spans="1:2" x14ac:dyDescent="0.2">
      <c r="A51" s="44"/>
      <c r="B51" s="44"/>
    </row>
    <row r="52" spans="1:2" x14ac:dyDescent="0.2">
      <c r="A52" s="26"/>
      <c r="B52" s="26"/>
    </row>
    <row r="53" spans="1:2" x14ac:dyDescent="0.2">
      <c r="A53" s="26"/>
      <c r="B53" s="26"/>
    </row>
    <row r="54" spans="1:2" x14ac:dyDescent="0.2">
      <c r="A54" s="26"/>
      <c r="B54" s="26"/>
    </row>
    <row r="55" spans="1:2" x14ac:dyDescent="0.2">
      <c r="A55" s="26"/>
      <c r="B55" s="26"/>
    </row>
    <row r="56" spans="1:2" x14ac:dyDescent="0.2">
      <c r="A56" s="26"/>
      <c r="B56" s="26"/>
    </row>
  </sheetData>
  <pageMargins left="0.7" right="0.7" top="0.75" bottom="0.75" header="0.3" footer="0.3"/>
  <pageSetup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55"/>
  <sheetViews>
    <sheetView workbookViewId="0">
      <selection activeCell="A28" sqref="A28:XFD28"/>
    </sheetView>
  </sheetViews>
  <sheetFormatPr baseColWidth="10" defaultColWidth="8.83203125" defaultRowHeight="15" x14ac:dyDescent="0.2"/>
  <cols>
    <col min="1" max="1" width="46.5" bestFit="1" customWidth="1"/>
    <col min="2" max="2" width="28.5" bestFit="1" customWidth="1"/>
    <col min="3" max="3" width="24.83203125" bestFit="1" customWidth="1"/>
    <col min="4" max="4" width="19.83203125" bestFit="1" customWidth="1"/>
    <col min="5" max="5" width="27.6640625" bestFit="1" customWidth="1"/>
    <col min="6" max="6" width="39.83203125" bestFit="1" customWidth="1"/>
    <col min="7" max="7" width="13.5" bestFit="1" customWidth="1"/>
    <col min="9" max="9" width="7" bestFit="1" customWidth="1"/>
    <col min="10" max="10" width="15.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8" ht="21" x14ac:dyDescent="0.25">
      <c r="A1" s="1" t="s">
        <v>278</v>
      </c>
    </row>
    <row r="2" spans="1:8" x14ac:dyDescent="0.2">
      <c r="A2" s="56" t="s">
        <v>261</v>
      </c>
      <c r="B2" s="57" t="s">
        <v>263</v>
      </c>
      <c r="C2" s="56" t="s">
        <v>264</v>
      </c>
      <c r="D2" s="56"/>
      <c r="E2" s="56" t="s">
        <v>273</v>
      </c>
    </row>
    <row r="3" spans="1:8" x14ac:dyDescent="0.2">
      <c r="A3" s="26" t="s">
        <v>262</v>
      </c>
      <c r="B3">
        <v>1668.48</v>
      </c>
      <c r="C3" s="26">
        <v>1668.48</v>
      </c>
      <c r="D3" s="26"/>
      <c r="E3">
        <v>597.79</v>
      </c>
    </row>
    <row r="4" spans="1:8" x14ac:dyDescent="0.2">
      <c r="A4" s="26" t="s">
        <v>265</v>
      </c>
      <c r="B4">
        <v>969.48</v>
      </c>
      <c r="C4" s="26">
        <v>969.48</v>
      </c>
      <c r="D4" s="26"/>
      <c r="E4">
        <v>597.79</v>
      </c>
    </row>
    <row r="5" spans="1:8" s="26" customFormat="1" x14ac:dyDescent="0.2">
      <c r="A5" s="43"/>
      <c r="B5" s="43"/>
      <c r="C5" s="43"/>
      <c r="D5" s="43"/>
      <c r="E5" s="43"/>
    </row>
    <row r="6" spans="1:8" s="26" customFormat="1" x14ac:dyDescent="0.2">
      <c r="A6" s="43"/>
      <c r="B6" s="43"/>
      <c r="C6" s="43"/>
      <c r="D6" s="43"/>
      <c r="E6" s="43"/>
    </row>
    <row r="7" spans="1:8" s="26" customFormat="1" x14ac:dyDescent="0.2">
      <c r="A7" s="32" t="s">
        <v>1</v>
      </c>
      <c r="B7" s="25"/>
      <c r="C7" s="32" t="s">
        <v>2</v>
      </c>
    </row>
    <row r="8" spans="1:8" s="26" customFormat="1" x14ac:dyDescent="0.2">
      <c r="A8" s="32" t="s">
        <v>12</v>
      </c>
      <c r="B8" s="25"/>
      <c r="C8" s="32"/>
    </row>
    <row r="9" spans="1:8" s="24" customFormat="1" x14ac:dyDescent="0.2">
      <c r="A9" s="20" t="s">
        <v>224</v>
      </c>
      <c r="B9" s="20"/>
      <c r="C9" s="53">
        <v>1131.6099999999999</v>
      </c>
      <c r="D9" s="24">
        <v>1194.1099999999999</v>
      </c>
    </row>
    <row r="10" spans="1:8" s="24" customFormat="1" x14ac:dyDescent="0.2">
      <c r="A10" s="20" t="s">
        <v>60</v>
      </c>
      <c r="B10" s="20"/>
      <c r="C10" s="20">
        <v>110.14</v>
      </c>
      <c r="D10" s="24">
        <v>113.61</v>
      </c>
    </row>
    <row r="11" spans="1:8" s="24" customFormat="1" x14ac:dyDescent="0.2">
      <c r="A11" s="20" t="s">
        <v>182</v>
      </c>
      <c r="B11" s="20"/>
      <c r="C11" s="21">
        <v>125</v>
      </c>
      <c r="D11" s="26">
        <v>237.5</v>
      </c>
    </row>
    <row r="12" spans="1:8" s="24" customFormat="1" x14ac:dyDescent="0.2">
      <c r="A12" s="20" t="s">
        <v>210</v>
      </c>
      <c r="B12" s="20"/>
      <c r="C12" s="21">
        <v>152.83000000000001</v>
      </c>
      <c r="D12" s="26">
        <v>152.83000000000001</v>
      </c>
      <c r="H12" s="50"/>
    </row>
    <row r="13" spans="1:8" s="24" customFormat="1" x14ac:dyDescent="0.2">
      <c r="A13" s="20" t="s">
        <v>211</v>
      </c>
      <c r="B13" s="20"/>
      <c r="C13" s="21">
        <v>207.82</v>
      </c>
      <c r="D13" s="26">
        <v>207.82</v>
      </c>
      <c r="H13" s="50"/>
    </row>
    <row r="14" spans="1:8" s="24" customFormat="1" x14ac:dyDescent="0.2">
      <c r="A14" s="20" t="s">
        <v>183</v>
      </c>
      <c r="B14" s="20"/>
      <c r="C14" s="21">
        <v>125</v>
      </c>
      <c r="D14" s="24">
        <v>237.5</v>
      </c>
    </row>
    <row r="15" spans="1:8" s="24" customFormat="1" x14ac:dyDescent="0.2">
      <c r="A15" s="20" t="s">
        <v>279</v>
      </c>
      <c r="B15" s="20"/>
      <c r="C15" s="21">
        <v>25</v>
      </c>
    </row>
    <row r="16" spans="1:8" s="24" customFormat="1" x14ac:dyDescent="0.2">
      <c r="A16" s="20" t="s">
        <v>260</v>
      </c>
      <c r="B16" s="20"/>
      <c r="C16" s="21">
        <v>7.95</v>
      </c>
      <c r="D16" s="26">
        <v>7.95</v>
      </c>
    </row>
    <row r="17" spans="1:4" s="24" customFormat="1" x14ac:dyDescent="0.2">
      <c r="A17" s="20" t="s">
        <v>214</v>
      </c>
      <c r="B17" s="20"/>
      <c r="C17" s="21">
        <v>25</v>
      </c>
    </row>
    <row r="18" spans="1:4" s="24" customFormat="1" x14ac:dyDescent="0.2">
      <c r="A18" s="20" t="s">
        <v>184</v>
      </c>
      <c r="B18" s="20"/>
      <c r="C18" s="21">
        <v>125</v>
      </c>
      <c r="D18" s="24">
        <v>237.5</v>
      </c>
    </row>
    <row r="19" spans="1:4" s="26" customFormat="1" x14ac:dyDescent="0.2">
      <c r="A19" s="29"/>
      <c r="B19" s="29"/>
      <c r="C19" s="30"/>
    </row>
    <row r="20" spans="1:4" s="26" customFormat="1" x14ac:dyDescent="0.2">
      <c r="A20" s="32" t="s">
        <v>13</v>
      </c>
      <c r="B20" s="25"/>
      <c r="C20" s="27"/>
    </row>
    <row r="21" spans="1:4" s="24" customFormat="1" x14ac:dyDescent="0.2">
      <c r="A21" s="20" t="s">
        <v>225</v>
      </c>
      <c r="B21" s="20"/>
      <c r="C21" s="21">
        <v>252.39</v>
      </c>
      <c r="D21" s="24">
        <v>314.89</v>
      </c>
    </row>
    <row r="22" spans="1:4" s="24" customFormat="1" x14ac:dyDescent="0.2">
      <c r="A22" s="20" t="s">
        <v>72</v>
      </c>
      <c r="B22" s="20"/>
      <c r="C22" s="21">
        <v>488.22</v>
      </c>
      <c r="D22" s="24">
        <v>488.22</v>
      </c>
    </row>
    <row r="23" spans="1:4" s="24" customFormat="1" x14ac:dyDescent="0.2">
      <c r="A23" s="20" t="s">
        <v>73</v>
      </c>
      <c r="B23" s="20"/>
      <c r="C23" s="21">
        <v>311.55</v>
      </c>
      <c r="D23" s="24">
        <v>311.55</v>
      </c>
    </row>
    <row r="24" spans="1:4" s="24" customFormat="1" x14ac:dyDescent="0.2">
      <c r="A24" s="20" t="s">
        <v>18</v>
      </c>
      <c r="B24" s="20"/>
      <c r="C24" s="21">
        <v>14.99</v>
      </c>
      <c r="D24" s="24">
        <v>14.99</v>
      </c>
    </row>
    <row r="25" spans="1:4" s="24" customFormat="1" x14ac:dyDescent="0.2">
      <c r="A25" s="20" t="s">
        <v>79</v>
      </c>
      <c r="B25" s="20"/>
      <c r="C25" s="21">
        <v>141.18</v>
      </c>
      <c r="D25" s="24">
        <v>141.18</v>
      </c>
    </row>
    <row r="26" spans="1:4" s="24" customFormat="1" x14ac:dyDescent="0.2">
      <c r="A26" s="20" t="s">
        <v>185</v>
      </c>
      <c r="B26" s="20"/>
      <c r="C26" s="21">
        <v>125</v>
      </c>
      <c r="D26" s="24">
        <v>237.5</v>
      </c>
    </row>
    <row r="27" spans="1:4" s="24" customFormat="1" x14ac:dyDescent="0.2">
      <c r="A27" s="20" t="s">
        <v>75</v>
      </c>
      <c r="B27" s="20"/>
      <c r="C27" s="21">
        <v>256.22000000000003</v>
      </c>
      <c r="D27" s="24">
        <v>256.22000000000003</v>
      </c>
    </row>
    <row r="28" spans="1:4" s="24" customFormat="1" x14ac:dyDescent="0.2">
      <c r="A28" s="20" t="s">
        <v>78</v>
      </c>
      <c r="B28" s="20"/>
      <c r="C28" s="21">
        <v>71.77</v>
      </c>
      <c r="D28" s="24">
        <v>71.77</v>
      </c>
    </row>
    <row r="29" spans="1:4" s="24" customFormat="1" x14ac:dyDescent="0.2">
      <c r="A29" s="20" t="s">
        <v>267</v>
      </c>
      <c r="B29" s="20"/>
      <c r="C29" s="55">
        <v>23</v>
      </c>
      <c r="D29" s="24">
        <v>26.17</v>
      </c>
    </row>
    <row r="30" spans="1:4" s="24" customFormat="1" x14ac:dyDescent="0.2">
      <c r="A30" s="20" t="s">
        <v>272</v>
      </c>
      <c r="B30" s="20"/>
      <c r="C30" s="55">
        <v>61.8</v>
      </c>
      <c r="D30" s="24">
        <v>75</v>
      </c>
    </row>
    <row r="31" spans="1:4" s="24" customFormat="1" x14ac:dyDescent="0.2">
      <c r="A31" s="20" t="s">
        <v>266</v>
      </c>
      <c r="B31" s="20"/>
      <c r="C31" s="21">
        <v>17</v>
      </c>
      <c r="D31" s="24">
        <v>40</v>
      </c>
    </row>
    <row r="32" spans="1:4" s="24" customFormat="1" x14ac:dyDescent="0.2">
      <c r="A32" s="20" t="s">
        <v>274</v>
      </c>
      <c r="B32" s="20"/>
      <c r="C32" s="55">
        <v>142.91999999999999</v>
      </c>
      <c r="D32" s="24">
        <v>145</v>
      </c>
    </row>
    <row r="33" spans="1:6" s="26" customFormat="1" x14ac:dyDescent="0.2">
      <c r="A33" s="14"/>
      <c r="B33" s="14"/>
      <c r="C33" s="14"/>
      <c r="F33" s="35"/>
    </row>
    <row r="35" spans="1:6" x14ac:dyDescent="0.2">
      <c r="A35" s="26"/>
      <c r="B35" s="26"/>
      <c r="C35" s="26"/>
    </row>
    <row r="36" spans="1:6" s="26" customFormat="1" x14ac:dyDescent="0.2">
      <c r="A36" s="26" t="s">
        <v>228</v>
      </c>
      <c r="B36" s="44"/>
    </row>
    <row r="37" spans="1:6" s="26" customFormat="1" x14ac:dyDescent="0.2">
      <c r="A37" s="26" t="s">
        <v>229</v>
      </c>
      <c r="B37" s="44"/>
    </row>
    <row r="38" spans="1:6" x14ac:dyDescent="0.2">
      <c r="A38" s="26"/>
      <c r="B38" s="44"/>
      <c r="C38" s="26"/>
    </row>
    <row r="39" spans="1:6" x14ac:dyDescent="0.2">
      <c r="A39" s="26"/>
      <c r="B39" s="44"/>
      <c r="C39" s="26"/>
    </row>
    <row r="40" spans="1:6" x14ac:dyDescent="0.2">
      <c r="A40" s="26"/>
      <c r="B40" s="44"/>
    </row>
    <row r="41" spans="1:6" x14ac:dyDescent="0.2">
      <c r="A41" s="26"/>
      <c r="B41" s="44"/>
    </row>
    <row r="42" spans="1:6" x14ac:dyDescent="0.2">
      <c r="A42" s="26"/>
      <c r="B42" s="44"/>
    </row>
    <row r="43" spans="1:6" x14ac:dyDescent="0.2">
      <c r="A43" s="54"/>
      <c r="B43" s="44"/>
    </row>
    <row r="44" spans="1:6" x14ac:dyDescent="0.2">
      <c r="A44" s="54"/>
      <c r="B44" s="44"/>
    </row>
    <row r="45" spans="1:6" x14ac:dyDescent="0.2">
      <c r="A45" s="54"/>
      <c r="B45" s="44"/>
    </row>
    <row r="46" spans="1:6" x14ac:dyDescent="0.2">
      <c r="A46" s="54"/>
      <c r="B46" s="44"/>
    </row>
    <row r="47" spans="1:6" x14ac:dyDescent="0.2">
      <c r="A47" s="54"/>
      <c r="B47" s="44"/>
    </row>
    <row r="48" spans="1:6" x14ac:dyDescent="0.2">
      <c r="A48" s="54"/>
      <c r="B48" s="44"/>
    </row>
    <row r="49" spans="1:2" x14ac:dyDescent="0.2">
      <c r="A49" s="54"/>
      <c r="B49" s="44"/>
    </row>
    <row r="50" spans="1:2" x14ac:dyDescent="0.2">
      <c r="A50" s="44"/>
      <c r="B50" s="44"/>
    </row>
    <row r="51" spans="1:2" x14ac:dyDescent="0.2">
      <c r="A51" s="26"/>
      <c r="B51" s="26"/>
    </row>
    <row r="52" spans="1:2" x14ac:dyDescent="0.2">
      <c r="A52" s="26"/>
      <c r="B52" s="26"/>
    </row>
    <row r="53" spans="1:2" x14ac:dyDescent="0.2">
      <c r="A53" s="26"/>
      <c r="B53" s="26"/>
    </row>
    <row r="54" spans="1:2" x14ac:dyDescent="0.2">
      <c r="A54" s="26"/>
      <c r="B54" s="26"/>
    </row>
    <row r="55" spans="1:2" x14ac:dyDescent="0.2">
      <c r="A55" s="26"/>
      <c r="B55" s="26"/>
    </row>
  </sheetData>
  <pageMargins left="0.7" right="0.7" top="0.75" bottom="0.75" header="0.3" footer="0.3"/>
  <pageSetup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54"/>
  <sheetViews>
    <sheetView workbookViewId="0">
      <selection activeCell="C9" sqref="C9:C31"/>
    </sheetView>
  </sheetViews>
  <sheetFormatPr baseColWidth="10" defaultColWidth="8.83203125" defaultRowHeight="15" x14ac:dyDescent="0.2"/>
  <cols>
    <col min="1" max="1" width="40.5" bestFit="1" customWidth="1"/>
    <col min="2" max="2" width="28.5" bestFit="1" customWidth="1"/>
    <col min="3" max="3" width="24.83203125" bestFit="1" customWidth="1"/>
    <col min="4" max="4" width="19.83203125" bestFit="1" customWidth="1"/>
    <col min="5" max="5" width="27.6640625" bestFit="1" customWidth="1"/>
    <col min="6" max="6" width="39.83203125" bestFit="1" customWidth="1"/>
    <col min="7" max="7" width="13.5" bestFit="1" customWidth="1"/>
    <col min="9" max="9" width="7" bestFit="1" customWidth="1"/>
    <col min="10" max="10" width="15.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8" ht="21" x14ac:dyDescent="0.25">
      <c r="A1" s="1" t="s">
        <v>277</v>
      </c>
    </row>
    <row r="2" spans="1:8" x14ac:dyDescent="0.2">
      <c r="A2" s="56" t="s">
        <v>261</v>
      </c>
      <c r="B2" s="57" t="s">
        <v>263</v>
      </c>
      <c r="C2" s="56" t="s">
        <v>264</v>
      </c>
      <c r="D2" s="56"/>
      <c r="E2" s="56" t="s">
        <v>273</v>
      </c>
    </row>
    <row r="3" spans="1:8" x14ac:dyDescent="0.2">
      <c r="A3" s="26" t="s">
        <v>262</v>
      </c>
      <c r="B3">
        <v>1668.48</v>
      </c>
      <c r="C3" s="26">
        <v>1668.48</v>
      </c>
      <c r="D3" s="26"/>
      <c r="E3">
        <v>597.79</v>
      </c>
    </row>
    <row r="4" spans="1:8" x14ac:dyDescent="0.2">
      <c r="A4" s="26" t="s">
        <v>265</v>
      </c>
      <c r="B4">
        <v>969.48</v>
      </c>
      <c r="C4" s="26">
        <v>969.48</v>
      </c>
      <c r="D4" s="26"/>
      <c r="E4">
        <v>597.79</v>
      </c>
    </row>
    <row r="5" spans="1:8" s="26" customFormat="1" x14ac:dyDescent="0.2">
      <c r="A5" s="43"/>
      <c r="B5" s="43"/>
      <c r="C5" s="43"/>
      <c r="D5" s="43"/>
      <c r="E5" s="43"/>
    </row>
    <row r="6" spans="1:8" s="26" customFormat="1" x14ac:dyDescent="0.2">
      <c r="A6" s="43"/>
      <c r="B6" s="43"/>
      <c r="C6" s="43"/>
      <c r="D6" s="43"/>
      <c r="E6" s="43"/>
    </row>
    <row r="7" spans="1:8" s="26" customFormat="1" x14ac:dyDescent="0.2">
      <c r="A7" s="32" t="s">
        <v>1</v>
      </c>
      <c r="B7" s="25"/>
      <c r="C7" s="32" t="s">
        <v>2</v>
      </c>
    </row>
    <row r="8" spans="1:8" s="26" customFormat="1" x14ac:dyDescent="0.2">
      <c r="A8" s="32" t="s">
        <v>12</v>
      </c>
      <c r="B8" s="25"/>
      <c r="C8" s="32"/>
    </row>
    <row r="9" spans="1:8" s="24" customFormat="1" x14ac:dyDescent="0.2">
      <c r="A9" s="20" t="s">
        <v>224</v>
      </c>
      <c r="B9" s="20"/>
      <c r="C9" s="53">
        <v>1131.6099999999999</v>
      </c>
      <c r="D9" s="24">
        <v>1194.1099999999999</v>
      </c>
    </row>
    <row r="10" spans="1:8" s="24" customFormat="1" x14ac:dyDescent="0.2">
      <c r="A10" s="20" t="s">
        <v>60</v>
      </c>
      <c r="B10" s="20"/>
      <c r="C10" s="20">
        <v>113.61</v>
      </c>
      <c r="D10" s="24">
        <v>113.61</v>
      </c>
    </row>
    <row r="11" spans="1:8" s="24" customFormat="1" x14ac:dyDescent="0.2">
      <c r="A11" s="20" t="s">
        <v>182</v>
      </c>
      <c r="B11" s="20"/>
      <c r="C11" s="21">
        <v>125</v>
      </c>
      <c r="D11" s="24">
        <v>237.5</v>
      </c>
    </row>
    <row r="12" spans="1:8" s="26" customFormat="1" x14ac:dyDescent="0.2">
      <c r="A12" s="25" t="s">
        <v>210</v>
      </c>
      <c r="B12" s="25"/>
      <c r="C12" s="27">
        <v>152.83000000000001</v>
      </c>
      <c r="D12" s="24">
        <v>152.83000000000001</v>
      </c>
      <c r="H12" s="59"/>
    </row>
    <row r="13" spans="1:8" s="26" customFormat="1" x14ac:dyDescent="0.2">
      <c r="A13" s="25" t="s">
        <v>211</v>
      </c>
      <c r="B13" s="25"/>
      <c r="C13" s="27">
        <v>207.82</v>
      </c>
      <c r="D13" s="24">
        <v>207.82</v>
      </c>
      <c r="H13" s="59"/>
    </row>
    <row r="14" spans="1:8" s="24" customFormat="1" x14ac:dyDescent="0.2">
      <c r="A14" s="20" t="s">
        <v>183</v>
      </c>
      <c r="B14" s="20"/>
      <c r="C14" s="21">
        <v>125</v>
      </c>
      <c r="D14" s="24">
        <v>237.5</v>
      </c>
    </row>
    <row r="15" spans="1:8" s="24" customFormat="1" x14ac:dyDescent="0.2">
      <c r="A15" s="20" t="s">
        <v>260</v>
      </c>
      <c r="B15" s="20"/>
      <c r="C15" s="21">
        <v>7.95</v>
      </c>
      <c r="D15" s="24">
        <v>7.95</v>
      </c>
    </row>
    <row r="16" spans="1:8" s="24" customFormat="1" x14ac:dyDescent="0.2">
      <c r="A16" s="20" t="s">
        <v>214</v>
      </c>
      <c r="B16" s="20"/>
      <c r="C16" s="21">
        <v>25</v>
      </c>
    </row>
    <row r="17" spans="1:6" s="24" customFormat="1" x14ac:dyDescent="0.2">
      <c r="A17" s="20" t="s">
        <v>184</v>
      </c>
      <c r="B17" s="20"/>
      <c r="C17" s="21">
        <v>125</v>
      </c>
      <c r="D17" s="24">
        <v>237.5</v>
      </c>
    </row>
    <row r="18" spans="1:6" s="26" customFormat="1" x14ac:dyDescent="0.2">
      <c r="A18" s="29"/>
      <c r="B18" s="29"/>
      <c r="C18" s="30"/>
    </row>
    <row r="19" spans="1:6" s="26" customFormat="1" x14ac:dyDescent="0.2">
      <c r="A19" s="32" t="s">
        <v>13</v>
      </c>
      <c r="B19" s="25"/>
      <c r="C19" s="27"/>
    </row>
    <row r="20" spans="1:6" s="24" customFormat="1" x14ac:dyDescent="0.2">
      <c r="A20" s="20" t="s">
        <v>225</v>
      </c>
      <c r="B20" s="20"/>
      <c r="C20" s="21">
        <v>252.39</v>
      </c>
      <c r="D20" s="24">
        <v>314.89</v>
      </c>
    </row>
    <row r="21" spans="1:6" s="24" customFormat="1" x14ac:dyDescent="0.2">
      <c r="A21" s="20" t="s">
        <v>72</v>
      </c>
      <c r="B21" s="20"/>
      <c r="C21" s="21">
        <v>488.22</v>
      </c>
      <c r="D21" s="24">
        <v>488.22</v>
      </c>
    </row>
    <row r="22" spans="1:6" s="24" customFormat="1" x14ac:dyDescent="0.2">
      <c r="A22" s="20" t="s">
        <v>73</v>
      </c>
      <c r="B22" s="20"/>
      <c r="C22" s="21">
        <v>311.55</v>
      </c>
      <c r="D22" s="24">
        <v>311.55</v>
      </c>
    </row>
    <row r="23" spans="1:6" s="24" customFormat="1" x14ac:dyDescent="0.2">
      <c r="A23" s="20" t="s">
        <v>18</v>
      </c>
      <c r="B23" s="20"/>
      <c r="C23" s="21">
        <v>14.99</v>
      </c>
      <c r="D23" s="24">
        <v>14.99</v>
      </c>
    </row>
    <row r="24" spans="1:6" s="24" customFormat="1" x14ac:dyDescent="0.2">
      <c r="A24" s="20" t="s">
        <v>79</v>
      </c>
      <c r="B24" s="20"/>
      <c r="C24" s="21">
        <v>141.18</v>
      </c>
      <c r="D24" s="24">
        <v>141.18</v>
      </c>
    </row>
    <row r="25" spans="1:6" s="24" customFormat="1" x14ac:dyDescent="0.2">
      <c r="A25" s="20" t="s">
        <v>185</v>
      </c>
      <c r="B25" s="20"/>
      <c r="C25" s="21">
        <v>125</v>
      </c>
      <c r="D25" s="24">
        <v>237.5</v>
      </c>
    </row>
    <row r="26" spans="1:6" s="24" customFormat="1" x14ac:dyDescent="0.2">
      <c r="A26" s="20" t="s">
        <v>75</v>
      </c>
      <c r="B26" s="20"/>
      <c r="C26" s="21">
        <v>256.22000000000003</v>
      </c>
      <c r="D26" s="24">
        <v>256.22000000000003</v>
      </c>
    </row>
    <row r="27" spans="1:6" s="24" customFormat="1" x14ac:dyDescent="0.2">
      <c r="A27" s="20" t="s">
        <v>78</v>
      </c>
      <c r="B27" s="20"/>
      <c r="C27" s="21">
        <v>71.77</v>
      </c>
      <c r="D27" s="24">
        <v>71.77</v>
      </c>
    </row>
    <row r="28" spans="1:6" s="24" customFormat="1" x14ac:dyDescent="0.2">
      <c r="A28" s="20" t="s">
        <v>267</v>
      </c>
      <c r="B28" s="20"/>
      <c r="C28" s="55">
        <v>26.17</v>
      </c>
      <c r="D28" s="24">
        <v>26.17</v>
      </c>
    </row>
    <row r="29" spans="1:6" s="24" customFormat="1" x14ac:dyDescent="0.2">
      <c r="A29" s="20" t="s">
        <v>272</v>
      </c>
      <c r="B29" s="20"/>
      <c r="C29" s="55">
        <v>55.42</v>
      </c>
      <c r="D29" s="24">
        <v>75</v>
      </c>
    </row>
    <row r="30" spans="1:6" s="24" customFormat="1" x14ac:dyDescent="0.2">
      <c r="A30" s="20" t="s">
        <v>266</v>
      </c>
      <c r="B30" s="20"/>
      <c r="C30" s="21">
        <v>6.5</v>
      </c>
      <c r="D30" s="24">
        <v>40</v>
      </c>
    </row>
    <row r="31" spans="1:6" s="24" customFormat="1" x14ac:dyDescent="0.2">
      <c r="A31" s="20" t="s">
        <v>274</v>
      </c>
      <c r="B31" s="20"/>
      <c r="C31" s="55">
        <v>140.12</v>
      </c>
      <c r="D31" s="24">
        <v>145</v>
      </c>
    </row>
    <row r="32" spans="1:6" s="26" customFormat="1" x14ac:dyDescent="0.2">
      <c r="A32" s="14"/>
      <c r="B32" s="14"/>
      <c r="C32" s="14"/>
      <c r="F32" s="35"/>
    </row>
    <row r="34" spans="1:3" x14ac:dyDescent="0.2">
      <c r="A34" s="26"/>
      <c r="B34" s="26"/>
      <c r="C34" s="26"/>
    </row>
    <row r="35" spans="1:3" s="26" customFormat="1" x14ac:dyDescent="0.2">
      <c r="A35" s="26" t="s">
        <v>228</v>
      </c>
      <c r="B35" s="44"/>
    </row>
    <row r="36" spans="1:3" s="26" customFormat="1" x14ac:dyDescent="0.2">
      <c r="A36" s="26" t="s">
        <v>229</v>
      </c>
      <c r="B36" s="44"/>
    </row>
    <row r="37" spans="1:3" x14ac:dyDescent="0.2">
      <c r="A37" s="26"/>
      <c r="B37" s="44"/>
      <c r="C37" s="26"/>
    </row>
    <row r="38" spans="1:3" x14ac:dyDescent="0.2">
      <c r="A38" s="26"/>
      <c r="B38" s="44"/>
      <c r="C38" s="26"/>
    </row>
    <row r="39" spans="1:3" x14ac:dyDescent="0.2">
      <c r="A39" s="26"/>
      <c r="B39" s="44"/>
    </row>
    <row r="40" spans="1:3" x14ac:dyDescent="0.2">
      <c r="A40" s="26"/>
      <c r="B40" s="44"/>
    </row>
    <row r="41" spans="1:3" x14ac:dyDescent="0.2">
      <c r="A41" s="26"/>
      <c r="B41" s="44"/>
    </row>
    <row r="42" spans="1:3" x14ac:dyDescent="0.2">
      <c r="A42" s="54"/>
      <c r="B42" s="44"/>
    </row>
    <row r="43" spans="1:3" x14ac:dyDescent="0.2">
      <c r="A43" s="54"/>
      <c r="B43" s="44"/>
    </row>
    <row r="44" spans="1:3" x14ac:dyDescent="0.2">
      <c r="A44" s="54"/>
      <c r="B44" s="44"/>
    </row>
    <row r="45" spans="1:3" x14ac:dyDescent="0.2">
      <c r="A45" s="54"/>
      <c r="B45" s="44"/>
    </row>
    <row r="46" spans="1:3" x14ac:dyDescent="0.2">
      <c r="A46" s="54"/>
      <c r="B46" s="44"/>
    </row>
    <row r="47" spans="1:3" x14ac:dyDescent="0.2">
      <c r="A47" s="54"/>
      <c r="B47" s="44"/>
    </row>
    <row r="48" spans="1:3" x14ac:dyDescent="0.2">
      <c r="A48" s="54"/>
      <c r="B48" s="44"/>
    </row>
    <row r="49" spans="1:2" x14ac:dyDescent="0.2">
      <c r="A49" s="44"/>
      <c r="B49" s="44"/>
    </row>
    <row r="50" spans="1:2" x14ac:dyDescent="0.2">
      <c r="A50" s="26"/>
      <c r="B50" s="26"/>
    </row>
    <row r="51" spans="1:2" x14ac:dyDescent="0.2">
      <c r="A51" s="26"/>
      <c r="B51" s="26"/>
    </row>
    <row r="52" spans="1:2" x14ac:dyDescent="0.2">
      <c r="A52" s="26"/>
      <c r="B52" s="26"/>
    </row>
    <row r="53" spans="1:2" x14ac:dyDescent="0.2">
      <c r="A53" s="26"/>
      <c r="B53" s="26"/>
    </row>
    <row r="54" spans="1:2" x14ac:dyDescent="0.2">
      <c r="A54" s="26"/>
      <c r="B54" s="26"/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52"/>
  <sheetViews>
    <sheetView workbookViewId="0">
      <selection activeCell="A29" sqref="A29:XFD29"/>
    </sheetView>
  </sheetViews>
  <sheetFormatPr baseColWidth="10" defaultColWidth="8.83203125" defaultRowHeight="15" x14ac:dyDescent="0.2"/>
  <cols>
    <col min="1" max="1" width="40.5" bestFit="1" customWidth="1"/>
    <col min="2" max="2" width="28.5" bestFit="1" customWidth="1"/>
    <col min="3" max="3" width="24.83203125" bestFit="1" customWidth="1"/>
    <col min="4" max="4" width="19.83203125" bestFit="1" customWidth="1"/>
    <col min="5" max="5" width="27.6640625" bestFit="1" customWidth="1"/>
    <col min="6" max="6" width="39.83203125" bestFit="1" customWidth="1"/>
    <col min="7" max="7" width="13.5" bestFit="1" customWidth="1"/>
    <col min="9" max="9" width="7" bestFit="1" customWidth="1"/>
    <col min="10" max="10" width="15.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8" ht="21" x14ac:dyDescent="0.25">
      <c r="A1" s="1" t="s">
        <v>276</v>
      </c>
    </row>
    <row r="2" spans="1:8" x14ac:dyDescent="0.2">
      <c r="A2" s="56" t="s">
        <v>261</v>
      </c>
      <c r="B2" s="57" t="s">
        <v>263</v>
      </c>
      <c r="C2" s="56" t="s">
        <v>264</v>
      </c>
      <c r="D2" s="56"/>
      <c r="E2" s="56" t="s">
        <v>273</v>
      </c>
    </row>
    <row r="3" spans="1:8" x14ac:dyDescent="0.2">
      <c r="A3" s="26" t="s">
        <v>262</v>
      </c>
      <c r="B3">
        <v>1668.48</v>
      </c>
      <c r="C3" s="26">
        <v>1668.48</v>
      </c>
      <c r="D3" s="26"/>
      <c r="E3">
        <v>597.79</v>
      </c>
    </row>
    <row r="4" spans="1:8" x14ac:dyDescent="0.2">
      <c r="A4" s="26" t="s">
        <v>265</v>
      </c>
      <c r="B4">
        <v>969.48</v>
      </c>
      <c r="C4" s="26">
        <v>969.48</v>
      </c>
      <c r="D4" s="26"/>
      <c r="E4">
        <v>597.79</v>
      </c>
    </row>
    <row r="5" spans="1:8" s="26" customFormat="1" x14ac:dyDescent="0.2">
      <c r="A5" s="43"/>
      <c r="B5" s="43"/>
      <c r="C5" s="43"/>
      <c r="D5" s="43"/>
      <c r="E5" s="43"/>
    </row>
    <row r="6" spans="1:8" s="26" customFormat="1" x14ac:dyDescent="0.2">
      <c r="A6" s="43"/>
      <c r="B6" s="43"/>
      <c r="C6" s="43"/>
      <c r="D6" s="43"/>
      <c r="E6" s="43"/>
    </row>
    <row r="7" spans="1:8" s="26" customFormat="1" x14ac:dyDescent="0.2">
      <c r="A7" s="32" t="s">
        <v>1</v>
      </c>
      <c r="B7" s="25"/>
      <c r="C7" s="32" t="s">
        <v>2</v>
      </c>
    </row>
    <row r="8" spans="1:8" s="26" customFormat="1" x14ac:dyDescent="0.2">
      <c r="A8" s="32" t="s">
        <v>12</v>
      </c>
      <c r="B8" s="25"/>
      <c r="C8" s="32"/>
    </row>
    <row r="9" spans="1:8" s="24" customFormat="1" x14ac:dyDescent="0.2">
      <c r="A9" s="20" t="s">
        <v>224</v>
      </c>
      <c r="B9" s="20"/>
      <c r="C9" s="53">
        <v>1131.6099999999999</v>
      </c>
    </row>
    <row r="10" spans="1:8" s="24" customFormat="1" x14ac:dyDescent="0.2">
      <c r="A10" s="20" t="s">
        <v>60</v>
      </c>
      <c r="B10" s="20"/>
      <c r="C10" s="20">
        <v>113.61</v>
      </c>
    </row>
    <row r="11" spans="1:8" s="24" customFormat="1" x14ac:dyDescent="0.2">
      <c r="A11" s="20" t="s">
        <v>182</v>
      </c>
      <c r="B11" s="20"/>
      <c r="C11" s="21">
        <v>125</v>
      </c>
    </row>
    <row r="12" spans="1:8" s="26" customFormat="1" x14ac:dyDescent="0.2">
      <c r="A12" s="25" t="s">
        <v>210</v>
      </c>
      <c r="B12" s="25"/>
      <c r="C12" s="27">
        <v>152.83000000000001</v>
      </c>
      <c r="H12" s="59"/>
    </row>
    <row r="13" spans="1:8" s="26" customFormat="1" x14ac:dyDescent="0.2">
      <c r="A13" s="25" t="s">
        <v>211</v>
      </c>
      <c r="B13" s="25"/>
      <c r="C13" s="27">
        <v>207.82</v>
      </c>
      <c r="E13" s="26">
        <v>3297.44</v>
      </c>
      <c r="H13" s="59"/>
    </row>
    <row r="14" spans="1:8" s="24" customFormat="1" x14ac:dyDescent="0.2">
      <c r="A14" s="20" t="s">
        <v>183</v>
      </c>
      <c r="B14" s="20"/>
      <c r="C14" s="21">
        <v>125</v>
      </c>
      <c r="E14" s="24">
        <v>2179.5700000000002</v>
      </c>
    </row>
    <row r="15" spans="1:8" s="24" customFormat="1" x14ac:dyDescent="0.2">
      <c r="A15" s="20" t="s">
        <v>260</v>
      </c>
      <c r="B15" s="20"/>
      <c r="C15" s="21">
        <v>7.95</v>
      </c>
      <c r="E15" s="24">
        <v>600</v>
      </c>
    </row>
    <row r="16" spans="1:8" s="24" customFormat="1" x14ac:dyDescent="0.2">
      <c r="A16" s="20" t="s">
        <v>214</v>
      </c>
      <c r="B16" s="20"/>
      <c r="C16" s="21">
        <v>25</v>
      </c>
      <c r="E16" s="24">
        <v>45</v>
      </c>
    </row>
    <row r="17" spans="1:6" s="24" customFormat="1" x14ac:dyDescent="0.2">
      <c r="A17" s="20" t="s">
        <v>184</v>
      </c>
      <c r="B17" s="20"/>
      <c r="C17" s="21">
        <v>125</v>
      </c>
    </row>
    <row r="18" spans="1:6" s="26" customFormat="1" x14ac:dyDescent="0.2">
      <c r="A18" s="29"/>
      <c r="B18" s="29"/>
      <c r="C18" s="30"/>
    </row>
    <row r="19" spans="1:6" s="26" customFormat="1" x14ac:dyDescent="0.2">
      <c r="A19" s="32" t="s">
        <v>13</v>
      </c>
      <c r="B19" s="25"/>
      <c r="C19" s="27"/>
    </row>
    <row r="20" spans="1:6" s="24" customFormat="1" x14ac:dyDescent="0.2">
      <c r="A20" s="20" t="s">
        <v>225</v>
      </c>
      <c r="B20" s="20"/>
      <c r="C20" s="21">
        <v>252.39</v>
      </c>
    </row>
    <row r="21" spans="1:6" s="24" customFormat="1" x14ac:dyDescent="0.2">
      <c r="A21" s="20" t="s">
        <v>72</v>
      </c>
      <c r="B21" s="20"/>
      <c r="C21" s="21">
        <v>488.22</v>
      </c>
      <c r="E21" s="24">
        <v>1923.35</v>
      </c>
    </row>
    <row r="22" spans="1:6" s="24" customFormat="1" x14ac:dyDescent="0.2">
      <c r="A22" s="20" t="s">
        <v>73</v>
      </c>
      <c r="B22" s="20"/>
      <c r="C22" s="21">
        <v>311.55</v>
      </c>
    </row>
    <row r="23" spans="1:6" s="24" customFormat="1" x14ac:dyDescent="0.2">
      <c r="A23" s="20" t="s">
        <v>18</v>
      </c>
      <c r="B23" s="20"/>
      <c r="C23" s="21">
        <v>14.99</v>
      </c>
    </row>
    <row r="24" spans="1:6" s="24" customFormat="1" x14ac:dyDescent="0.2">
      <c r="A24" s="20" t="s">
        <v>79</v>
      </c>
      <c r="B24" s="20"/>
      <c r="C24" s="21">
        <v>141.18</v>
      </c>
    </row>
    <row r="25" spans="1:6" s="24" customFormat="1" x14ac:dyDescent="0.2">
      <c r="A25" s="20" t="s">
        <v>185</v>
      </c>
      <c r="B25" s="20"/>
      <c r="C25" s="21">
        <v>125</v>
      </c>
    </row>
    <row r="26" spans="1:6" s="24" customFormat="1" x14ac:dyDescent="0.2">
      <c r="A26" s="20" t="s">
        <v>75</v>
      </c>
      <c r="B26" s="20"/>
      <c r="C26" s="21">
        <v>256.22000000000003</v>
      </c>
    </row>
    <row r="27" spans="1:6" s="24" customFormat="1" x14ac:dyDescent="0.2">
      <c r="A27" s="20" t="s">
        <v>78</v>
      </c>
      <c r="B27" s="20"/>
      <c r="C27" s="21">
        <v>71.77</v>
      </c>
    </row>
    <row r="28" spans="1:6" s="24" customFormat="1" x14ac:dyDescent="0.2">
      <c r="A28" s="20" t="s">
        <v>267</v>
      </c>
      <c r="B28" s="20"/>
      <c r="C28" s="55">
        <v>25</v>
      </c>
    </row>
    <row r="29" spans="1:6" s="24" customFormat="1" x14ac:dyDescent="0.2">
      <c r="A29" s="20" t="s">
        <v>274</v>
      </c>
      <c r="B29" s="20"/>
      <c r="C29" s="55">
        <v>141.27000000000001</v>
      </c>
    </row>
    <row r="30" spans="1:6" s="26" customFormat="1" x14ac:dyDescent="0.2">
      <c r="A30" s="14"/>
      <c r="B30" s="14"/>
      <c r="C30" s="14"/>
      <c r="F30" s="35"/>
    </row>
    <row r="32" spans="1:6" x14ac:dyDescent="0.2">
      <c r="A32" s="26"/>
      <c r="B32" s="26"/>
      <c r="C32" s="26"/>
    </row>
    <row r="33" spans="1:3" s="26" customFormat="1" x14ac:dyDescent="0.2">
      <c r="A33" s="26" t="s">
        <v>228</v>
      </c>
      <c r="B33" s="44"/>
    </row>
    <row r="34" spans="1:3" s="26" customFormat="1" x14ac:dyDescent="0.2">
      <c r="A34" s="26" t="s">
        <v>229</v>
      </c>
      <c r="B34" s="44"/>
    </row>
    <row r="35" spans="1:3" x14ac:dyDescent="0.2">
      <c r="A35" s="26"/>
      <c r="B35" s="44"/>
      <c r="C35" s="26"/>
    </row>
    <row r="36" spans="1:3" x14ac:dyDescent="0.2">
      <c r="A36" s="26"/>
      <c r="B36" s="44"/>
      <c r="C36" s="26"/>
    </row>
    <row r="37" spans="1:3" x14ac:dyDescent="0.2">
      <c r="A37" s="26"/>
      <c r="B37" s="44"/>
    </row>
    <row r="38" spans="1:3" x14ac:dyDescent="0.2">
      <c r="A38" s="26"/>
      <c r="B38" s="44"/>
    </row>
    <row r="39" spans="1:3" x14ac:dyDescent="0.2">
      <c r="A39" s="26"/>
      <c r="B39" s="44"/>
    </row>
    <row r="40" spans="1:3" x14ac:dyDescent="0.2">
      <c r="A40" s="54"/>
      <c r="B40" s="44"/>
    </row>
    <row r="41" spans="1:3" x14ac:dyDescent="0.2">
      <c r="A41" s="54"/>
      <c r="B41" s="44"/>
    </row>
    <row r="42" spans="1:3" x14ac:dyDescent="0.2">
      <c r="A42" s="54"/>
      <c r="B42" s="44"/>
    </row>
    <row r="43" spans="1:3" x14ac:dyDescent="0.2">
      <c r="A43" s="54"/>
      <c r="B43" s="44"/>
    </row>
    <row r="44" spans="1:3" x14ac:dyDescent="0.2">
      <c r="A44" s="54"/>
      <c r="B44" s="44"/>
    </row>
    <row r="45" spans="1:3" x14ac:dyDescent="0.2">
      <c r="A45" s="54"/>
      <c r="B45" s="44"/>
    </row>
    <row r="46" spans="1:3" x14ac:dyDescent="0.2">
      <c r="A46" s="54"/>
      <c r="B46" s="44"/>
    </row>
    <row r="47" spans="1:3" x14ac:dyDescent="0.2">
      <c r="A47" s="44"/>
      <c r="B47" s="44"/>
    </row>
    <row r="48" spans="1:3" x14ac:dyDescent="0.2">
      <c r="A48" s="26"/>
      <c r="B48" s="26"/>
    </row>
    <row r="49" spans="1:2" x14ac:dyDescent="0.2">
      <c r="A49" s="26"/>
      <c r="B49" s="26"/>
    </row>
    <row r="50" spans="1:2" x14ac:dyDescent="0.2">
      <c r="A50" s="26"/>
      <c r="B50" s="26"/>
    </row>
    <row r="51" spans="1:2" x14ac:dyDescent="0.2">
      <c r="A51" s="26"/>
      <c r="B51" s="26"/>
    </row>
    <row r="52" spans="1:2" x14ac:dyDescent="0.2">
      <c r="A52" s="26"/>
      <c r="B52" s="26"/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56"/>
  <sheetViews>
    <sheetView workbookViewId="0">
      <selection activeCell="A29" sqref="A29:XFD29"/>
    </sheetView>
  </sheetViews>
  <sheetFormatPr baseColWidth="10" defaultColWidth="8.83203125" defaultRowHeight="15" x14ac:dyDescent="0.2"/>
  <cols>
    <col min="1" max="1" width="40.5" bestFit="1" customWidth="1"/>
    <col min="2" max="2" width="28.5" bestFit="1" customWidth="1"/>
    <col min="3" max="3" width="24.83203125" bestFit="1" customWidth="1"/>
    <col min="4" max="4" width="19.83203125" bestFit="1" customWidth="1"/>
    <col min="5" max="5" width="27.6640625" bestFit="1" customWidth="1"/>
    <col min="6" max="6" width="39.83203125" bestFit="1" customWidth="1"/>
    <col min="9" max="9" width="7" bestFit="1" customWidth="1"/>
    <col min="10" max="10" width="15.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8" ht="21" x14ac:dyDescent="0.25">
      <c r="A1" s="1" t="s">
        <v>271</v>
      </c>
    </row>
    <row r="2" spans="1:8" x14ac:dyDescent="0.2">
      <c r="A2" s="56" t="s">
        <v>261</v>
      </c>
      <c r="B2" s="57" t="s">
        <v>263</v>
      </c>
      <c r="C2" s="56" t="s">
        <v>264</v>
      </c>
      <c r="D2" s="56"/>
      <c r="E2" s="56" t="s">
        <v>273</v>
      </c>
    </row>
    <row r="3" spans="1:8" x14ac:dyDescent="0.2">
      <c r="A3" s="26" t="s">
        <v>262</v>
      </c>
      <c r="B3">
        <v>1668.48</v>
      </c>
      <c r="C3" s="26">
        <v>1668.48</v>
      </c>
      <c r="D3" s="26"/>
      <c r="E3">
        <v>597.79</v>
      </c>
    </row>
    <row r="4" spans="1:8" x14ac:dyDescent="0.2">
      <c r="A4" s="26" t="s">
        <v>265</v>
      </c>
      <c r="B4">
        <v>969.48</v>
      </c>
      <c r="C4" s="26">
        <v>969.48</v>
      </c>
      <c r="D4" s="26"/>
      <c r="E4">
        <v>597.79</v>
      </c>
    </row>
    <row r="5" spans="1:8" s="26" customFormat="1" x14ac:dyDescent="0.2">
      <c r="A5" s="43"/>
      <c r="B5" s="43"/>
      <c r="C5" s="43"/>
      <c r="D5" s="43"/>
      <c r="E5" s="43"/>
    </row>
    <row r="6" spans="1:8" s="26" customFormat="1" x14ac:dyDescent="0.2">
      <c r="A6" s="43"/>
      <c r="B6" s="43"/>
      <c r="C6" s="43"/>
      <c r="D6" s="43"/>
      <c r="E6" s="43"/>
    </row>
    <row r="7" spans="1:8" s="26" customFormat="1" x14ac:dyDescent="0.2">
      <c r="A7" s="32" t="s">
        <v>1</v>
      </c>
      <c r="B7" s="25"/>
      <c r="C7" s="32" t="s">
        <v>2</v>
      </c>
    </row>
    <row r="8" spans="1:8" s="26" customFormat="1" x14ac:dyDescent="0.2">
      <c r="A8" s="32" t="s">
        <v>12</v>
      </c>
      <c r="B8" s="25"/>
      <c r="C8" s="32"/>
    </row>
    <row r="9" spans="1:8" s="24" customFormat="1" x14ac:dyDescent="0.2">
      <c r="A9" s="20" t="s">
        <v>224</v>
      </c>
      <c r="B9" s="20"/>
      <c r="C9" s="53">
        <v>1131.6099999999999</v>
      </c>
    </row>
    <row r="10" spans="1:8" s="24" customFormat="1" x14ac:dyDescent="0.2">
      <c r="A10" s="20" t="s">
        <v>60</v>
      </c>
      <c r="B10" s="20"/>
      <c r="C10" s="20">
        <v>113.61</v>
      </c>
    </row>
    <row r="11" spans="1:8" s="24" customFormat="1" x14ac:dyDescent="0.2">
      <c r="A11" s="20" t="s">
        <v>182</v>
      </c>
      <c r="B11" s="20"/>
      <c r="C11" s="21">
        <v>125</v>
      </c>
    </row>
    <row r="12" spans="1:8" s="26" customFormat="1" x14ac:dyDescent="0.2">
      <c r="A12" s="25" t="s">
        <v>210</v>
      </c>
      <c r="B12" s="25"/>
      <c r="C12" s="27">
        <v>152.83000000000001</v>
      </c>
      <c r="H12" s="59"/>
    </row>
    <row r="13" spans="1:8" s="26" customFormat="1" x14ac:dyDescent="0.2">
      <c r="A13" s="25" t="s">
        <v>211</v>
      </c>
      <c r="B13" s="25"/>
      <c r="C13" s="27">
        <v>207.82</v>
      </c>
      <c r="H13" s="59"/>
    </row>
    <row r="14" spans="1:8" s="24" customFormat="1" x14ac:dyDescent="0.2">
      <c r="A14" s="20" t="s">
        <v>183</v>
      </c>
      <c r="B14" s="20"/>
      <c r="C14" s="21">
        <v>125</v>
      </c>
    </row>
    <row r="15" spans="1:8" s="24" customFormat="1" x14ac:dyDescent="0.2">
      <c r="A15" s="20" t="s">
        <v>260</v>
      </c>
      <c r="B15" s="20"/>
      <c r="C15" s="21">
        <v>7.95</v>
      </c>
    </row>
    <row r="16" spans="1:8" s="24" customFormat="1" x14ac:dyDescent="0.2">
      <c r="A16" s="20" t="s">
        <v>275</v>
      </c>
      <c r="B16" s="20"/>
      <c r="C16" s="21">
        <v>29</v>
      </c>
    </row>
    <row r="17" spans="1:4" s="24" customFormat="1" x14ac:dyDescent="0.2">
      <c r="A17" s="20" t="s">
        <v>214</v>
      </c>
      <c r="B17" s="20"/>
      <c r="C17" s="21">
        <v>25</v>
      </c>
    </row>
    <row r="18" spans="1:4" s="24" customFormat="1" x14ac:dyDescent="0.2">
      <c r="A18" s="20" t="s">
        <v>184</v>
      </c>
      <c r="B18" s="20"/>
      <c r="C18" s="21">
        <v>125</v>
      </c>
    </row>
    <row r="19" spans="1:4" s="26" customFormat="1" x14ac:dyDescent="0.2">
      <c r="A19" s="29"/>
      <c r="B19" s="29"/>
      <c r="C19" s="30"/>
    </row>
    <row r="20" spans="1:4" s="26" customFormat="1" x14ac:dyDescent="0.2">
      <c r="A20" s="32" t="s">
        <v>13</v>
      </c>
      <c r="B20" s="25"/>
      <c r="C20" s="27"/>
    </row>
    <row r="21" spans="1:4" s="24" customFormat="1" x14ac:dyDescent="0.2">
      <c r="A21" s="20" t="s">
        <v>225</v>
      </c>
      <c r="B21" s="20"/>
      <c r="C21" s="21">
        <v>252.39</v>
      </c>
    </row>
    <row r="22" spans="1:4" s="24" customFormat="1" x14ac:dyDescent="0.2">
      <c r="A22" s="20" t="s">
        <v>72</v>
      </c>
      <c r="B22" s="20"/>
      <c r="C22" s="21">
        <v>488.22</v>
      </c>
    </row>
    <row r="23" spans="1:4" s="24" customFormat="1" x14ac:dyDescent="0.2">
      <c r="A23" s="20" t="s">
        <v>73</v>
      </c>
      <c r="B23" s="20"/>
      <c r="C23" s="21">
        <v>311.55</v>
      </c>
    </row>
    <row r="24" spans="1:4" s="24" customFormat="1" x14ac:dyDescent="0.2">
      <c r="A24" s="20" t="s">
        <v>18</v>
      </c>
      <c r="B24" s="20"/>
      <c r="C24" s="21">
        <v>14.99</v>
      </c>
    </row>
    <row r="25" spans="1:4" s="24" customFormat="1" x14ac:dyDescent="0.2">
      <c r="A25" s="20" t="s">
        <v>79</v>
      </c>
      <c r="B25" s="20"/>
      <c r="C25" s="21">
        <v>141.18</v>
      </c>
    </row>
    <row r="26" spans="1:4" s="24" customFormat="1" x14ac:dyDescent="0.2">
      <c r="A26" s="20" t="s">
        <v>227</v>
      </c>
      <c r="B26" s="20"/>
      <c r="C26" s="21">
        <v>75</v>
      </c>
    </row>
    <row r="27" spans="1:4" s="24" customFormat="1" x14ac:dyDescent="0.2">
      <c r="A27" s="20" t="s">
        <v>185</v>
      </c>
      <c r="B27" s="20"/>
      <c r="C27" s="21">
        <v>125</v>
      </c>
    </row>
    <row r="28" spans="1:4" s="24" customFormat="1" x14ac:dyDescent="0.2">
      <c r="A28" s="20" t="s">
        <v>75</v>
      </c>
      <c r="B28" s="20"/>
      <c r="C28" s="21">
        <v>256.22000000000003</v>
      </c>
    </row>
    <row r="29" spans="1:4" s="24" customFormat="1" x14ac:dyDescent="0.2">
      <c r="A29" s="20" t="s">
        <v>78</v>
      </c>
      <c r="B29" s="20"/>
      <c r="C29" s="21">
        <v>71.77</v>
      </c>
      <c r="D29" s="60"/>
    </row>
    <row r="30" spans="1:4" s="24" customFormat="1" x14ac:dyDescent="0.2">
      <c r="A30" s="20" t="s">
        <v>267</v>
      </c>
      <c r="B30" s="20"/>
      <c r="C30" s="55">
        <v>30</v>
      </c>
    </row>
    <row r="31" spans="1:4" s="24" customFormat="1" x14ac:dyDescent="0.2">
      <c r="A31" s="20" t="s">
        <v>272</v>
      </c>
      <c r="B31" s="20"/>
      <c r="C31" s="55">
        <v>56.02</v>
      </c>
    </row>
    <row r="32" spans="1:4" s="26" customFormat="1" x14ac:dyDescent="0.2">
      <c r="A32" s="25" t="s">
        <v>266</v>
      </c>
      <c r="B32" s="25"/>
      <c r="C32" s="27">
        <v>15</v>
      </c>
    </row>
    <row r="33" spans="1:6" s="24" customFormat="1" x14ac:dyDescent="0.2">
      <c r="A33" s="20" t="s">
        <v>274</v>
      </c>
      <c r="B33" s="20"/>
      <c r="C33" s="55">
        <v>137.72999999999999</v>
      </c>
    </row>
    <row r="34" spans="1:6" s="26" customFormat="1" x14ac:dyDescent="0.2">
      <c r="A34" s="14"/>
      <c r="B34" s="14"/>
      <c r="C34" s="14"/>
      <c r="F34" s="35"/>
    </row>
    <row r="36" spans="1:6" x14ac:dyDescent="0.2">
      <c r="A36" s="26"/>
      <c r="B36" s="26"/>
      <c r="C36" s="26"/>
    </row>
    <row r="37" spans="1:6" s="26" customFormat="1" x14ac:dyDescent="0.2">
      <c r="A37" s="26" t="s">
        <v>228</v>
      </c>
      <c r="B37" s="44"/>
    </row>
    <row r="38" spans="1:6" s="26" customFormat="1" x14ac:dyDescent="0.2">
      <c r="A38" s="26" t="s">
        <v>229</v>
      </c>
      <c r="B38" s="44"/>
    </row>
    <row r="39" spans="1:6" x14ac:dyDescent="0.2">
      <c r="A39" s="26"/>
      <c r="B39" s="44"/>
      <c r="C39" s="26"/>
    </row>
    <row r="40" spans="1:6" x14ac:dyDescent="0.2">
      <c r="A40" s="26"/>
      <c r="B40" s="44"/>
      <c r="C40" s="26"/>
    </row>
    <row r="41" spans="1:6" x14ac:dyDescent="0.2">
      <c r="A41" s="26"/>
      <c r="B41" s="44"/>
    </row>
    <row r="42" spans="1:6" x14ac:dyDescent="0.2">
      <c r="A42" s="26"/>
      <c r="B42" s="44"/>
    </row>
    <row r="43" spans="1:6" x14ac:dyDescent="0.2">
      <c r="A43" s="26"/>
      <c r="B43" s="44"/>
    </row>
    <row r="44" spans="1:6" x14ac:dyDescent="0.2">
      <c r="A44" s="54"/>
      <c r="B44" s="44"/>
    </row>
    <row r="45" spans="1:6" x14ac:dyDescent="0.2">
      <c r="A45" s="54"/>
      <c r="B45" s="44"/>
    </row>
    <row r="46" spans="1:6" x14ac:dyDescent="0.2">
      <c r="A46" s="54"/>
      <c r="B46" s="44"/>
    </row>
    <row r="47" spans="1:6" x14ac:dyDescent="0.2">
      <c r="A47" s="54"/>
      <c r="B47" s="44"/>
    </row>
    <row r="48" spans="1:6" x14ac:dyDescent="0.2">
      <c r="A48" s="54"/>
      <c r="B48" s="44"/>
    </row>
    <row r="49" spans="1:2" x14ac:dyDescent="0.2">
      <c r="A49" s="54"/>
      <c r="B49" s="44"/>
    </row>
    <row r="50" spans="1:2" x14ac:dyDescent="0.2">
      <c r="A50" s="54"/>
      <c r="B50" s="44"/>
    </row>
    <row r="51" spans="1:2" x14ac:dyDescent="0.2">
      <c r="A51" s="44"/>
      <c r="B51" s="44"/>
    </row>
    <row r="52" spans="1:2" x14ac:dyDescent="0.2">
      <c r="A52" s="26"/>
      <c r="B52" s="26"/>
    </row>
    <row r="53" spans="1:2" x14ac:dyDescent="0.2">
      <c r="A53" s="26"/>
      <c r="B53" s="26"/>
    </row>
    <row r="54" spans="1:2" x14ac:dyDescent="0.2">
      <c r="A54" s="26"/>
      <c r="B54" s="26"/>
    </row>
    <row r="55" spans="1:2" x14ac:dyDescent="0.2">
      <c r="A55" s="26"/>
      <c r="B55" s="26"/>
    </row>
    <row r="56" spans="1:2" x14ac:dyDescent="0.2">
      <c r="A56" s="26"/>
      <c r="B56" s="26"/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55"/>
  <sheetViews>
    <sheetView topLeftCell="A7" workbookViewId="0">
      <selection activeCell="A29" sqref="A29:XFD29"/>
    </sheetView>
  </sheetViews>
  <sheetFormatPr baseColWidth="10" defaultColWidth="8.83203125" defaultRowHeight="15" x14ac:dyDescent="0.2"/>
  <cols>
    <col min="1" max="1" width="40.5" bestFit="1" customWidth="1"/>
    <col min="2" max="2" width="28.5" bestFit="1" customWidth="1"/>
    <col min="3" max="3" width="24.83203125" bestFit="1" customWidth="1"/>
    <col min="4" max="4" width="19.83203125" bestFit="1" customWidth="1"/>
    <col min="5" max="5" width="22" bestFit="1" customWidth="1"/>
    <col min="6" max="6" width="63.6640625" bestFit="1" customWidth="1"/>
    <col min="9" max="9" width="7" bestFit="1" customWidth="1"/>
    <col min="10" max="10" width="15.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8" ht="21" x14ac:dyDescent="0.25">
      <c r="A1" s="1" t="s">
        <v>270</v>
      </c>
    </row>
    <row r="2" spans="1:8" x14ac:dyDescent="0.2">
      <c r="A2" s="56" t="s">
        <v>261</v>
      </c>
      <c r="B2" s="57" t="s">
        <v>263</v>
      </c>
      <c r="C2" s="56" t="s">
        <v>264</v>
      </c>
      <c r="D2" s="26"/>
    </row>
    <row r="3" spans="1:8" x14ac:dyDescent="0.2">
      <c r="A3" s="26" t="s">
        <v>262</v>
      </c>
      <c r="B3">
        <v>1668.48</v>
      </c>
      <c r="C3" s="26">
        <v>1668.48</v>
      </c>
      <c r="D3" s="26"/>
    </row>
    <row r="4" spans="1:8" x14ac:dyDescent="0.2">
      <c r="A4" s="26" t="s">
        <v>265</v>
      </c>
      <c r="B4">
        <v>969.48</v>
      </c>
      <c r="C4" s="26">
        <v>969.48</v>
      </c>
      <c r="D4" s="26"/>
    </row>
    <row r="5" spans="1:8" s="26" customFormat="1" x14ac:dyDescent="0.2">
      <c r="A5" s="43"/>
      <c r="B5" s="43"/>
      <c r="C5" s="43"/>
    </row>
    <row r="6" spans="1:8" s="26" customFormat="1" x14ac:dyDescent="0.2">
      <c r="A6" s="43"/>
      <c r="B6" s="43"/>
      <c r="C6" s="43"/>
    </row>
    <row r="7" spans="1:8" s="26" customFormat="1" x14ac:dyDescent="0.2">
      <c r="A7" s="32" t="s">
        <v>1</v>
      </c>
      <c r="B7" s="25"/>
      <c r="C7" s="32" t="s">
        <v>2</v>
      </c>
    </row>
    <row r="8" spans="1:8" s="26" customFormat="1" x14ac:dyDescent="0.2">
      <c r="A8" s="32" t="s">
        <v>12</v>
      </c>
      <c r="B8" s="25"/>
      <c r="C8" s="32"/>
    </row>
    <row r="9" spans="1:8" s="24" customFormat="1" x14ac:dyDescent="0.2">
      <c r="A9" s="20" t="s">
        <v>224</v>
      </c>
      <c r="B9" s="20"/>
      <c r="C9" s="53">
        <v>1131.6099999999999</v>
      </c>
      <c r="F9" s="26"/>
    </row>
    <row r="10" spans="1:8" s="24" customFormat="1" x14ac:dyDescent="0.2">
      <c r="A10" s="20" t="s">
        <v>60</v>
      </c>
      <c r="B10" s="20"/>
      <c r="C10" s="20">
        <v>113.61</v>
      </c>
    </row>
    <row r="11" spans="1:8" s="24" customFormat="1" x14ac:dyDescent="0.2">
      <c r="A11" s="20" t="s">
        <v>182</v>
      </c>
      <c r="B11" s="20"/>
      <c r="C11" s="21">
        <v>125</v>
      </c>
    </row>
    <row r="12" spans="1:8" s="24" customFormat="1" x14ac:dyDescent="0.2">
      <c r="A12" s="20" t="s">
        <v>210</v>
      </c>
      <c r="B12" s="20"/>
      <c r="C12" s="21">
        <v>152.83000000000001</v>
      </c>
      <c r="H12" s="50"/>
    </row>
    <row r="13" spans="1:8" s="24" customFormat="1" x14ac:dyDescent="0.2">
      <c r="A13" s="20" t="s">
        <v>211</v>
      </c>
      <c r="B13" s="20"/>
      <c r="C13" s="21">
        <v>207.82</v>
      </c>
      <c r="H13" s="50"/>
    </row>
    <row r="14" spans="1:8" s="24" customFormat="1" x14ac:dyDescent="0.2">
      <c r="A14" s="20" t="s">
        <v>183</v>
      </c>
      <c r="B14" s="20"/>
      <c r="C14" s="21">
        <v>125</v>
      </c>
    </row>
    <row r="15" spans="1:8" s="24" customFormat="1" x14ac:dyDescent="0.2">
      <c r="A15" s="20" t="s">
        <v>260</v>
      </c>
      <c r="B15" s="20"/>
      <c r="C15" s="21">
        <v>7.95</v>
      </c>
    </row>
    <row r="16" spans="1:8" s="24" customFormat="1" x14ac:dyDescent="0.2">
      <c r="A16" s="20" t="s">
        <v>147</v>
      </c>
      <c r="B16" s="20"/>
      <c r="C16" s="21">
        <v>31</v>
      </c>
    </row>
    <row r="17" spans="1:3" s="24" customFormat="1" x14ac:dyDescent="0.2">
      <c r="A17" s="20" t="s">
        <v>214</v>
      </c>
      <c r="B17" s="20"/>
      <c r="C17" s="21">
        <v>25</v>
      </c>
    </row>
    <row r="18" spans="1:3" s="24" customFormat="1" x14ac:dyDescent="0.2">
      <c r="A18" s="20" t="s">
        <v>184</v>
      </c>
      <c r="B18" s="20"/>
      <c r="C18" s="21">
        <v>125</v>
      </c>
    </row>
    <row r="19" spans="1:3" s="26" customFormat="1" x14ac:dyDescent="0.2">
      <c r="A19" s="29"/>
      <c r="B19" s="29"/>
      <c r="C19" s="30"/>
    </row>
    <row r="20" spans="1:3" s="26" customFormat="1" x14ac:dyDescent="0.2">
      <c r="A20" s="32" t="s">
        <v>13</v>
      </c>
      <c r="B20" s="25"/>
      <c r="C20" s="27"/>
    </row>
    <row r="21" spans="1:3" s="24" customFormat="1" x14ac:dyDescent="0.2">
      <c r="A21" s="20" t="s">
        <v>225</v>
      </c>
      <c r="B21" s="20"/>
      <c r="C21" s="21">
        <v>252.39</v>
      </c>
    </row>
    <row r="22" spans="1:3" s="24" customFormat="1" x14ac:dyDescent="0.2">
      <c r="A22" s="20" t="s">
        <v>72</v>
      </c>
      <c r="B22" s="20"/>
      <c r="C22" s="21">
        <v>488.22</v>
      </c>
    </row>
    <row r="23" spans="1:3" s="24" customFormat="1" x14ac:dyDescent="0.2">
      <c r="A23" s="20" t="s">
        <v>73</v>
      </c>
      <c r="B23" s="20"/>
      <c r="C23" s="21">
        <v>311.55</v>
      </c>
    </row>
    <row r="24" spans="1:3" s="24" customFormat="1" x14ac:dyDescent="0.2">
      <c r="A24" s="20" t="s">
        <v>18</v>
      </c>
      <c r="B24" s="20"/>
      <c r="C24" s="21">
        <v>14.99</v>
      </c>
    </row>
    <row r="25" spans="1:3" s="24" customFormat="1" x14ac:dyDescent="0.2">
      <c r="A25" s="20" t="s">
        <v>79</v>
      </c>
      <c r="B25" s="20"/>
      <c r="C25" s="21">
        <v>141.18</v>
      </c>
    </row>
    <row r="26" spans="1:3" s="24" customFormat="1" x14ac:dyDescent="0.2">
      <c r="A26" s="20" t="s">
        <v>227</v>
      </c>
      <c r="B26" s="20"/>
      <c r="C26" s="21">
        <v>72.17</v>
      </c>
    </row>
    <row r="27" spans="1:3" s="24" customFormat="1" x14ac:dyDescent="0.2">
      <c r="A27" s="20" t="s">
        <v>185</v>
      </c>
      <c r="B27" s="20"/>
      <c r="C27" s="21">
        <v>125</v>
      </c>
    </row>
    <row r="28" spans="1:3" s="24" customFormat="1" x14ac:dyDescent="0.2">
      <c r="A28" s="20" t="s">
        <v>75</v>
      </c>
      <c r="B28" s="20"/>
      <c r="C28" s="21">
        <v>256.22000000000003</v>
      </c>
    </row>
    <row r="29" spans="1:3" s="24" customFormat="1" x14ac:dyDescent="0.2">
      <c r="A29" s="20" t="s">
        <v>78</v>
      </c>
      <c r="B29" s="20"/>
      <c r="C29" s="21">
        <v>132.22</v>
      </c>
    </row>
    <row r="30" spans="1:3" s="24" customFormat="1" x14ac:dyDescent="0.2">
      <c r="A30" s="20" t="s">
        <v>267</v>
      </c>
      <c r="B30" s="20"/>
      <c r="C30" s="55">
        <v>28.59</v>
      </c>
    </row>
    <row r="31" spans="1:3" s="24" customFormat="1" x14ac:dyDescent="0.2">
      <c r="A31" s="20" t="s">
        <v>266</v>
      </c>
      <c r="B31" s="20"/>
      <c r="C31" s="21">
        <v>80.27</v>
      </c>
    </row>
    <row r="32" spans="1:3" s="24" customFormat="1" x14ac:dyDescent="0.2">
      <c r="A32" s="20" t="s">
        <v>274</v>
      </c>
      <c r="B32" s="20"/>
      <c r="C32" s="55">
        <v>13</v>
      </c>
    </row>
    <row r="33" spans="1:6" s="26" customFormat="1" x14ac:dyDescent="0.2">
      <c r="A33" s="14"/>
      <c r="B33" s="14"/>
      <c r="C33" s="14"/>
      <c r="F33" s="35"/>
    </row>
    <row r="35" spans="1:6" x14ac:dyDescent="0.2">
      <c r="A35" s="26"/>
      <c r="B35" s="26"/>
      <c r="C35" s="26"/>
    </row>
    <row r="36" spans="1:6" s="26" customFormat="1" x14ac:dyDescent="0.2">
      <c r="A36" s="26" t="s">
        <v>228</v>
      </c>
      <c r="B36" s="44"/>
    </row>
    <row r="37" spans="1:6" s="26" customFormat="1" x14ac:dyDescent="0.2">
      <c r="A37" s="26" t="s">
        <v>229</v>
      </c>
      <c r="B37" s="44"/>
    </row>
    <row r="38" spans="1:6" x14ac:dyDescent="0.2">
      <c r="A38" s="26"/>
      <c r="B38" s="44"/>
      <c r="C38" s="26"/>
    </row>
    <row r="39" spans="1:6" x14ac:dyDescent="0.2">
      <c r="A39" s="26"/>
      <c r="B39" s="44"/>
      <c r="C39" s="26"/>
    </row>
    <row r="40" spans="1:6" x14ac:dyDescent="0.2">
      <c r="A40" s="26"/>
      <c r="B40" s="44"/>
    </row>
    <row r="41" spans="1:6" x14ac:dyDescent="0.2">
      <c r="A41" s="26"/>
      <c r="B41" s="44"/>
    </row>
    <row r="42" spans="1:6" x14ac:dyDescent="0.2">
      <c r="A42" s="26"/>
      <c r="B42" s="44"/>
    </row>
    <row r="43" spans="1:6" x14ac:dyDescent="0.2">
      <c r="A43" s="54"/>
      <c r="B43" s="44"/>
    </row>
    <row r="44" spans="1:6" x14ac:dyDescent="0.2">
      <c r="A44" s="54"/>
      <c r="B44" s="44"/>
    </row>
    <row r="45" spans="1:6" x14ac:dyDescent="0.2">
      <c r="A45" s="54"/>
      <c r="B45" s="44"/>
    </row>
    <row r="46" spans="1:6" x14ac:dyDescent="0.2">
      <c r="A46" s="54"/>
      <c r="B46" s="44"/>
    </row>
    <row r="47" spans="1:6" x14ac:dyDescent="0.2">
      <c r="A47" s="54"/>
      <c r="B47" s="44"/>
    </row>
    <row r="48" spans="1:6" x14ac:dyDescent="0.2">
      <c r="A48" s="54"/>
      <c r="B48" s="44"/>
    </row>
    <row r="49" spans="1:2" x14ac:dyDescent="0.2">
      <c r="A49" s="54"/>
      <c r="B49" s="44"/>
    </row>
    <row r="50" spans="1:2" x14ac:dyDescent="0.2">
      <c r="A50" s="44"/>
      <c r="B50" s="44"/>
    </row>
    <row r="51" spans="1:2" x14ac:dyDescent="0.2">
      <c r="A51" s="26"/>
      <c r="B51" s="26"/>
    </row>
    <row r="52" spans="1:2" x14ac:dyDescent="0.2">
      <c r="A52" s="26"/>
      <c r="B52" s="26"/>
    </row>
    <row r="53" spans="1:2" x14ac:dyDescent="0.2">
      <c r="A53" s="26"/>
      <c r="B53" s="26"/>
    </row>
    <row r="54" spans="1:2" x14ac:dyDescent="0.2">
      <c r="A54" s="26"/>
      <c r="B54" s="26"/>
    </row>
    <row r="55" spans="1:2" x14ac:dyDescent="0.2">
      <c r="A55" s="26"/>
      <c r="B55" s="26"/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55"/>
  <sheetViews>
    <sheetView workbookViewId="0">
      <selection activeCell="A29" sqref="A29:XFD29"/>
    </sheetView>
  </sheetViews>
  <sheetFormatPr baseColWidth="10" defaultColWidth="8.83203125" defaultRowHeight="15" x14ac:dyDescent="0.2"/>
  <cols>
    <col min="1" max="1" width="40.5" bestFit="1" customWidth="1"/>
    <col min="2" max="2" width="28.5" bestFit="1" customWidth="1"/>
    <col min="3" max="3" width="24.83203125" bestFit="1" customWidth="1"/>
    <col min="4" max="4" width="19.83203125" bestFit="1" customWidth="1"/>
    <col min="5" max="5" width="22" bestFit="1" customWidth="1"/>
    <col min="6" max="6" width="39.83203125" bestFit="1" customWidth="1"/>
    <col min="9" max="9" width="7" bestFit="1" customWidth="1"/>
    <col min="10" max="10" width="15.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8" ht="21" x14ac:dyDescent="0.25">
      <c r="A1" s="1" t="s">
        <v>268</v>
      </c>
    </row>
    <row r="2" spans="1:8" x14ac:dyDescent="0.2">
      <c r="A2" s="56" t="s">
        <v>261</v>
      </c>
      <c r="B2" s="57" t="s">
        <v>263</v>
      </c>
      <c r="C2" s="56" t="s">
        <v>264</v>
      </c>
      <c r="D2" s="26"/>
    </row>
    <row r="3" spans="1:8" x14ac:dyDescent="0.2">
      <c r="A3" s="26" t="s">
        <v>262</v>
      </c>
      <c r="B3">
        <v>1668.48</v>
      </c>
      <c r="C3" s="26">
        <v>1668.48</v>
      </c>
      <c r="D3" s="26"/>
    </row>
    <row r="4" spans="1:8" x14ac:dyDescent="0.2">
      <c r="A4" s="26" t="s">
        <v>265</v>
      </c>
      <c r="B4">
        <v>969.48</v>
      </c>
      <c r="C4" s="26">
        <v>969.48</v>
      </c>
      <c r="D4" s="26"/>
    </row>
    <row r="5" spans="1:8" s="26" customFormat="1" x14ac:dyDescent="0.2">
      <c r="A5" s="43"/>
      <c r="B5" s="43"/>
      <c r="C5" s="43"/>
    </row>
    <row r="6" spans="1:8" s="26" customFormat="1" x14ac:dyDescent="0.2">
      <c r="A6" s="43"/>
      <c r="B6" s="43"/>
      <c r="C6" s="43"/>
    </row>
    <row r="7" spans="1:8" s="26" customFormat="1" x14ac:dyDescent="0.2">
      <c r="A7" s="32" t="s">
        <v>1</v>
      </c>
      <c r="B7" s="25"/>
      <c r="C7" s="32" t="s">
        <v>2</v>
      </c>
    </row>
    <row r="8" spans="1:8" s="26" customFormat="1" x14ac:dyDescent="0.2">
      <c r="A8" s="32" t="s">
        <v>12</v>
      </c>
      <c r="B8" s="25"/>
      <c r="C8" s="32"/>
    </row>
    <row r="9" spans="1:8" s="24" customFormat="1" x14ac:dyDescent="0.2">
      <c r="A9" s="20" t="s">
        <v>224</v>
      </c>
      <c r="B9" s="20"/>
      <c r="C9" s="53">
        <v>1131.6099999999999</v>
      </c>
    </row>
    <row r="10" spans="1:8" s="24" customFormat="1" x14ac:dyDescent="0.2">
      <c r="A10" s="20" t="s">
        <v>60</v>
      </c>
      <c r="B10" s="20"/>
      <c r="C10" s="20">
        <v>113.61</v>
      </c>
    </row>
    <row r="11" spans="1:8" s="24" customFormat="1" x14ac:dyDescent="0.2">
      <c r="A11" s="20" t="s">
        <v>182</v>
      </c>
      <c r="B11" s="20"/>
      <c r="C11" s="21">
        <v>125</v>
      </c>
    </row>
    <row r="12" spans="1:8" s="24" customFormat="1" x14ac:dyDescent="0.2">
      <c r="A12" s="20" t="s">
        <v>210</v>
      </c>
      <c r="B12" s="20"/>
      <c r="C12" s="21">
        <v>152.83000000000001</v>
      </c>
      <c r="F12" s="24">
        <v>2837.96</v>
      </c>
      <c r="H12" s="50">
        <v>846.04</v>
      </c>
    </row>
    <row r="13" spans="1:8" s="24" customFormat="1" x14ac:dyDescent="0.2">
      <c r="A13" s="20" t="s">
        <v>211</v>
      </c>
      <c r="B13" s="20"/>
      <c r="C13" s="21">
        <v>207.82</v>
      </c>
      <c r="H13" s="50"/>
    </row>
    <row r="14" spans="1:8" s="24" customFormat="1" x14ac:dyDescent="0.2">
      <c r="A14" s="20" t="s">
        <v>183</v>
      </c>
      <c r="B14" s="20"/>
      <c r="C14" s="21">
        <v>125</v>
      </c>
    </row>
    <row r="15" spans="1:8" s="24" customFormat="1" x14ac:dyDescent="0.2">
      <c r="A15" s="20" t="s">
        <v>260</v>
      </c>
      <c r="B15" s="20"/>
      <c r="C15" s="21">
        <v>7.95</v>
      </c>
    </row>
    <row r="16" spans="1:8" s="24" customFormat="1" x14ac:dyDescent="0.2">
      <c r="A16" s="20" t="s">
        <v>147</v>
      </c>
      <c r="B16" s="20"/>
      <c r="C16" s="21">
        <v>29</v>
      </c>
    </row>
    <row r="17" spans="1:3" s="24" customFormat="1" x14ac:dyDescent="0.2">
      <c r="A17" s="20" t="s">
        <v>214</v>
      </c>
      <c r="B17" s="20"/>
      <c r="C17" s="21">
        <v>25</v>
      </c>
    </row>
    <row r="18" spans="1:3" s="24" customFormat="1" x14ac:dyDescent="0.2">
      <c r="A18" s="20" t="s">
        <v>184</v>
      </c>
      <c r="B18" s="20"/>
      <c r="C18" s="21">
        <v>125</v>
      </c>
    </row>
    <row r="19" spans="1:3" s="26" customFormat="1" x14ac:dyDescent="0.2">
      <c r="A19" s="29"/>
      <c r="B19" s="29"/>
      <c r="C19" s="30"/>
    </row>
    <row r="20" spans="1:3" s="26" customFormat="1" x14ac:dyDescent="0.2">
      <c r="A20" s="32" t="s">
        <v>13</v>
      </c>
      <c r="B20" s="25"/>
      <c r="C20" s="27"/>
    </row>
    <row r="21" spans="1:3" s="24" customFormat="1" x14ac:dyDescent="0.2">
      <c r="A21" s="20" t="s">
        <v>225</v>
      </c>
      <c r="B21" s="20"/>
      <c r="C21" s="21">
        <v>252.39</v>
      </c>
    </row>
    <row r="22" spans="1:3" s="24" customFormat="1" x14ac:dyDescent="0.2">
      <c r="A22" s="20" t="s">
        <v>72</v>
      </c>
      <c r="B22" s="20"/>
      <c r="C22" s="21">
        <v>488.22</v>
      </c>
    </row>
    <row r="23" spans="1:3" s="24" customFormat="1" x14ac:dyDescent="0.2">
      <c r="A23" s="20" t="s">
        <v>73</v>
      </c>
      <c r="B23" s="20"/>
      <c r="C23" s="21">
        <v>311.55</v>
      </c>
    </row>
    <row r="24" spans="1:3" s="24" customFormat="1" x14ac:dyDescent="0.2">
      <c r="A24" s="20" t="s">
        <v>18</v>
      </c>
      <c r="B24" s="20"/>
      <c r="C24" s="21">
        <v>14.99</v>
      </c>
    </row>
    <row r="25" spans="1:3" s="24" customFormat="1" x14ac:dyDescent="0.2">
      <c r="A25" s="20" t="s">
        <v>79</v>
      </c>
      <c r="B25" s="20"/>
      <c r="C25" s="21">
        <v>141.18</v>
      </c>
    </row>
    <row r="26" spans="1:3" s="24" customFormat="1" x14ac:dyDescent="0.2">
      <c r="A26" s="20" t="s">
        <v>227</v>
      </c>
      <c r="B26" s="20"/>
      <c r="C26" s="21">
        <v>71.83</v>
      </c>
    </row>
    <row r="27" spans="1:3" s="24" customFormat="1" x14ac:dyDescent="0.2">
      <c r="A27" s="20" t="s">
        <v>185</v>
      </c>
      <c r="B27" s="20"/>
      <c r="C27" s="21">
        <v>125</v>
      </c>
    </row>
    <row r="28" spans="1:3" s="24" customFormat="1" x14ac:dyDescent="0.2">
      <c r="A28" s="20" t="s">
        <v>75</v>
      </c>
      <c r="B28" s="20"/>
      <c r="C28" s="21">
        <v>256.22000000000003</v>
      </c>
    </row>
    <row r="29" spans="1:3" s="24" customFormat="1" x14ac:dyDescent="0.2">
      <c r="A29" s="20" t="s">
        <v>78</v>
      </c>
      <c r="B29" s="20"/>
      <c r="C29" s="21">
        <v>132.22</v>
      </c>
    </row>
    <row r="30" spans="1:3" s="24" customFormat="1" x14ac:dyDescent="0.2">
      <c r="A30" s="20" t="s">
        <v>267</v>
      </c>
      <c r="B30" s="20"/>
      <c r="C30" s="55">
        <v>46</v>
      </c>
    </row>
    <row r="31" spans="1:3" s="24" customFormat="1" x14ac:dyDescent="0.2">
      <c r="A31" s="20" t="s">
        <v>266</v>
      </c>
      <c r="B31" s="20"/>
      <c r="C31" s="21">
        <v>82</v>
      </c>
    </row>
    <row r="32" spans="1:3" s="24" customFormat="1" x14ac:dyDescent="0.2">
      <c r="A32" s="20" t="s">
        <v>269</v>
      </c>
      <c r="B32" s="20"/>
      <c r="C32" s="55">
        <v>112.92</v>
      </c>
    </row>
    <row r="33" spans="1:6" s="26" customFormat="1" x14ac:dyDescent="0.2">
      <c r="A33" s="14"/>
      <c r="B33" s="14"/>
      <c r="C33" s="14"/>
      <c r="F33" s="35"/>
    </row>
    <row r="35" spans="1:6" x14ac:dyDescent="0.2">
      <c r="A35" s="26"/>
      <c r="B35" s="26"/>
      <c r="C35" s="26"/>
    </row>
    <row r="36" spans="1:6" s="26" customFormat="1" x14ac:dyDescent="0.2">
      <c r="A36" s="26" t="s">
        <v>228</v>
      </c>
      <c r="B36" s="44"/>
    </row>
    <row r="37" spans="1:6" s="26" customFormat="1" x14ac:dyDescent="0.2">
      <c r="A37" s="26" t="s">
        <v>229</v>
      </c>
      <c r="B37" s="44"/>
    </row>
    <row r="38" spans="1:6" x14ac:dyDescent="0.2">
      <c r="A38" s="26"/>
      <c r="B38" s="44"/>
      <c r="C38" s="26"/>
    </row>
    <row r="39" spans="1:6" x14ac:dyDescent="0.2">
      <c r="A39" s="26"/>
      <c r="B39" s="44"/>
      <c r="C39" s="26"/>
    </row>
    <row r="40" spans="1:6" x14ac:dyDescent="0.2">
      <c r="A40" s="26"/>
      <c r="B40" s="44"/>
    </row>
    <row r="41" spans="1:6" x14ac:dyDescent="0.2">
      <c r="A41" s="26"/>
      <c r="B41" s="44"/>
    </row>
    <row r="42" spans="1:6" x14ac:dyDescent="0.2">
      <c r="A42" s="26"/>
      <c r="B42" s="44"/>
    </row>
    <row r="43" spans="1:6" x14ac:dyDescent="0.2">
      <c r="A43" s="54"/>
      <c r="B43" s="44"/>
    </row>
    <row r="44" spans="1:6" x14ac:dyDescent="0.2">
      <c r="A44" s="54"/>
      <c r="B44" s="44"/>
    </row>
    <row r="45" spans="1:6" x14ac:dyDescent="0.2">
      <c r="A45" s="54"/>
      <c r="B45" s="44"/>
    </row>
    <row r="46" spans="1:6" x14ac:dyDescent="0.2">
      <c r="A46" s="54"/>
      <c r="B46" s="44"/>
    </row>
    <row r="47" spans="1:6" x14ac:dyDescent="0.2">
      <c r="A47" s="54"/>
      <c r="B47" s="44"/>
    </row>
    <row r="48" spans="1:6" x14ac:dyDescent="0.2">
      <c r="A48" s="54"/>
      <c r="B48" s="44"/>
    </row>
    <row r="49" spans="1:2" x14ac:dyDescent="0.2">
      <c r="A49" s="54"/>
      <c r="B49" s="44"/>
    </row>
    <row r="50" spans="1:2" x14ac:dyDescent="0.2">
      <c r="A50" s="44"/>
      <c r="B50" s="44"/>
    </row>
    <row r="51" spans="1:2" x14ac:dyDescent="0.2">
      <c r="A51" s="26"/>
      <c r="B51" s="26"/>
    </row>
    <row r="52" spans="1:2" x14ac:dyDescent="0.2">
      <c r="A52" s="26"/>
      <c r="B52" s="26"/>
    </row>
    <row r="53" spans="1:2" x14ac:dyDescent="0.2">
      <c r="A53" s="26"/>
      <c r="B53" s="26"/>
    </row>
    <row r="54" spans="1:2" x14ac:dyDescent="0.2">
      <c r="A54" s="26"/>
      <c r="B54" s="26"/>
    </row>
    <row r="55" spans="1:2" x14ac:dyDescent="0.2">
      <c r="A55" s="26"/>
      <c r="B55" s="26"/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55"/>
  <sheetViews>
    <sheetView workbookViewId="0">
      <selection activeCell="A31" sqref="A31:XFD31"/>
    </sheetView>
  </sheetViews>
  <sheetFormatPr baseColWidth="10" defaultColWidth="8.83203125" defaultRowHeight="15" x14ac:dyDescent="0.2"/>
  <cols>
    <col min="1" max="1" width="40.5" bestFit="1" customWidth="1"/>
    <col min="2" max="2" width="28.5" bestFit="1" customWidth="1"/>
    <col min="3" max="3" width="24.83203125" bestFit="1" customWidth="1"/>
    <col min="4" max="4" width="19.83203125" bestFit="1" customWidth="1"/>
    <col min="5" max="5" width="22" bestFit="1" customWidth="1"/>
    <col min="6" max="6" width="39.83203125" bestFit="1" customWidth="1"/>
    <col min="9" max="9" width="7" bestFit="1" customWidth="1"/>
    <col min="10" max="10" width="15.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8" ht="21" x14ac:dyDescent="0.25">
      <c r="A1" s="1" t="s">
        <v>258</v>
      </c>
    </row>
    <row r="2" spans="1:8" x14ac:dyDescent="0.2">
      <c r="A2" s="26" t="s">
        <v>261</v>
      </c>
      <c r="B2" t="s">
        <v>263</v>
      </c>
      <c r="C2" s="26" t="s">
        <v>264</v>
      </c>
      <c r="D2" s="26"/>
    </row>
    <row r="3" spans="1:8" x14ac:dyDescent="0.2">
      <c r="A3" s="26" t="s">
        <v>262</v>
      </c>
      <c r="B3">
        <v>1668.48</v>
      </c>
      <c r="C3" s="26">
        <v>1668.48</v>
      </c>
      <c r="D3" s="26"/>
    </row>
    <row r="4" spans="1:8" x14ac:dyDescent="0.2">
      <c r="A4" s="26" t="s">
        <v>265</v>
      </c>
      <c r="B4">
        <v>969.51</v>
      </c>
      <c r="C4" s="26">
        <v>969.51</v>
      </c>
      <c r="D4" s="26"/>
    </row>
    <row r="5" spans="1:8" s="26" customFormat="1" x14ac:dyDescent="0.2">
      <c r="A5" s="43"/>
      <c r="B5" s="43"/>
      <c r="C5" s="43"/>
    </row>
    <row r="6" spans="1:8" s="26" customFormat="1" x14ac:dyDescent="0.2">
      <c r="A6" s="43"/>
      <c r="B6" s="43"/>
      <c r="C6" s="43"/>
      <c r="E6" s="26">
        <v>700</v>
      </c>
    </row>
    <row r="7" spans="1:8" s="26" customFormat="1" x14ac:dyDescent="0.2">
      <c r="A7" s="32" t="s">
        <v>1</v>
      </c>
      <c r="B7" s="25"/>
      <c r="C7" s="32" t="s">
        <v>2</v>
      </c>
    </row>
    <row r="8" spans="1:8" s="26" customFormat="1" x14ac:dyDescent="0.2">
      <c r="A8" s="32" t="s">
        <v>12</v>
      </c>
      <c r="B8" s="25"/>
      <c r="C8" s="32"/>
    </row>
    <row r="9" spans="1:8" s="24" customFormat="1" x14ac:dyDescent="0.2">
      <c r="A9" s="20" t="s">
        <v>224</v>
      </c>
      <c r="B9" s="20"/>
      <c r="C9" s="53">
        <v>1131.6099999999999</v>
      </c>
    </row>
    <row r="10" spans="1:8" s="24" customFormat="1" x14ac:dyDescent="0.2">
      <c r="A10" s="20" t="s">
        <v>60</v>
      </c>
      <c r="B10" s="20"/>
      <c r="C10" s="20">
        <v>115.05</v>
      </c>
    </row>
    <row r="11" spans="1:8" s="24" customFormat="1" x14ac:dyDescent="0.2">
      <c r="A11" s="20" t="s">
        <v>182</v>
      </c>
      <c r="B11" s="20"/>
      <c r="C11" s="21">
        <v>125</v>
      </c>
    </row>
    <row r="12" spans="1:8" s="24" customFormat="1" x14ac:dyDescent="0.2">
      <c r="A12" s="20" t="s">
        <v>210</v>
      </c>
      <c r="B12" s="20"/>
      <c r="C12" s="21">
        <v>152.83000000000001</v>
      </c>
      <c r="H12" s="50"/>
    </row>
    <row r="13" spans="1:8" s="24" customFormat="1" x14ac:dyDescent="0.2">
      <c r="A13" s="20" t="s">
        <v>211</v>
      </c>
      <c r="B13" s="20"/>
      <c r="C13" s="21">
        <v>207.82</v>
      </c>
      <c r="H13" s="50"/>
    </row>
    <row r="14" spans="1:8" s="24" customFormat="1" x14ac:dyDescent="0.2">
      <c r="A14" s="20" t="s">
        <v>183</v>
      </c>
      <c r="B14" s="20"/>
      <c r="C14" s="21">
        <v>125</v>
      </c>
    </row>
    <row r="15" spans="1:8" s="24" customFormat="1" x14ac:dyDescent="0.2">
      <c r="A15" s="20" t="s">
        <v>119</v>
      </c>
      <c r="B15" s="20"/>
      <c r="C15" s="21">
        <v>25</v>
      </c>
    </row>
    <row r="16" spans="1:8" s="24" customFormat="1" x14ac:dyDescent="0.2">
      <c r="A16" s="20" t="s">
        <v>260</v>
      </c>
      <c r="B16" s="20"/>
      <c r="C16" s="21">
        <v>7.95</v>
      </c>
    </row>
    <row r="17" spans="1:3" s="24" customFormat="1" x14ac:dyDescent="0.2">
      <c r="A17" s="20" t="s">
        <v>147</v>
      </c>
      <c r="B17" s="20"/>
      <c r="C17" s="21">
        <v>25</v>
      </c>
    </row>
    <row r="18" spans="1:3" s="24" customFormat="1" x14ac:dyDescent="0.2">
      <c r="A18" s="20" t="s">
        <v>214</v>
      </c>
      <c r="B18" s="20"/>
      <c r="C18" s="21">
        <v>25</v>
      </c>
    </row>
    <row r="19" spans="1:3" s="24" customFormat="1" x14ac:dyDescent="0.2">
      <c r="A19" s="20" t="s">
        <v>216</v>
      </c>
      <c r="B19" s="20"/>
      <c r="C19" s="21">
        <v>21.65</v>
      </c>
    </row>
    <row r="20" spans="1:3" s="24" customFormat="1" x14ac:dyDescent="0.2">
      <c r="A20" s="20" t="s">
        <v>184</v>
      </c>
      <c r="B20" s="20"/>
      <c r="C20" s="21">
        <v>125</v>
      </c>
    </row>
    <row r="21" spans="1:3" s="26" customFormat="1" x14ac:dyDescent="0.2">
      <c r="A21" s="29"/>
      <c r="B21" s="29"/>
      <c r="C21" s="30"/>
    </row>
    <row r="22" spans="1:3" s="26" customFormat="1" x14ac:dyDescent="0.2">
      <c r="A22" s="32" t="s">
        <v>13</v>
      </c>
      <c r="B22" s="25"/>
      <c r="C22" s="27"/>
    </row>
    <row r="23" spans="1:3" s="24" customFormat="1" x14ac:dyDescent="0.2">
      <c r="A23" s="20" t="s">
        <v>225</v>
      </c>
      <c r="B23" s="20"/>
      <c r="C23" s="21">
        <v>252.39</v>
      </c>
    </row>
    <row r="24" spans="1:3" s="24" customFormat="1" x14ac:dyDescent="0.2">
      <c r="A24" s="20" t="s">
        <v>72</v>
      </c>
      <c r="B24" s="20"/>
      <c r="C24" s="21">
        <v>488.22</v>
      </c>
    </row>
    <row r="25" spans="1:3" s="24" customFormat="1" x14ac:dyDescent="0.2">
      <c r="A25" s="20" t="s">
        <v>73</v>
      </c>
      <c r="B25" s="20"/>
      <c r="C25" s="21">
        <v>311.55</v>
      </c>
    </row>
    <row r="26" spans="1:3" s="24" customFormat="1" x14ac:dyDescent="0.2">
      <c r="A26" s="20" t="s">
        <v>18</v>
      </c>
      <c r="B26" s="20"/>
      <c r="C26" s="21">
        <v>14.99</v>
      </c>
    </row>
    <row r="27" spans="1:3" s="24" customFormat="1" x14ac:dyDescent="0.2">
      <c r="A27" s="20" t="s">
        <v>79</v>
      </c>
      <c r="B27" s="20"/>
      <c r="C27" s="21">
        <v>105.23</v>
      </c>
    </row>
    <row r="28" spans="1:3" s="24" customFormat="1" x14ac:dyDescent="0.2">
      <c r="A28" s="20" t="s">
        <v>227</v>
      </c>
      <c r="B28" s="20"/>
      <c r="C28" s="21">
        <v>73.55</v>
      </c>
    </row>
    <row r="29" spans="1:3" s="24" customFormat="1" x14ac:dyDescent="0.2">
      <c r="A29" s="20" t="s">
        <v>185</v>
      </c>
      <c r="B29" s="20"/>
      <c r="C29" s="21">
        <v>125</v>
      </c>
    </row>
    <row r="30" spans="1:3" s="24" customFormat="1" x14ac:dyDescent="0.2">
      <c r="A30" s="20" t="s">
        <v>75</v>
      </c>
      <c r="B30" s="20"/>
      <c r="C30" s="21">
        <v>256.22000000000003</v>
      </c>
    </row>
    <row r="31" spans="1:3" s="24" customFormat="1" x14ac:dyDescent="0.2">
      <c r="A31" s="20" t="s">
        <v>78</v>
      </c>
      <c r="B31" s="20"/>
      <c r="C31" s="21">
        <v>132.22</v>
      </c>
    </row>
    <row r="32" spans="1:3" s="24" customFormat="1" x14ac:dyDescent="0.2">
      <c r="A32" s="20" t="s">
        <v>266</v>
      </c>
      <c r="B32" s="20"/>
      <c r="C32" s="21">
        <v>82</v>
      </c>
    </row>
    <row r="33" spans="1:6" s="26" customFormat="1" x14ac:dyDescent="0.2">
      <c r="A33" s="14"/>
      <c r="B33" s="14"/>
      <c r="C33" s="14"/>
      <c r="F33" s="35"/>
    </row>
    <row r="35" spans="1:6" x14ac:dyDescent="0.2">
      <c r="A35" s="26"/>
      <c r="B35" s="26"/>
      <c r="C35" s="26"/>
    </row>
    <row r="36" spans="1:6" s="26" customFormat="1" x14ac:dyDescent="0.2">
      <c r="A36" s="26" t="s">
        <v>228</v>
      </c>
      <c r="B36" s="44"/>
    </row>
    <row r="37" spans="1:6" s="26" customFormat="1" x14ac:dyDescent="0.2">
      <c r="A37" s="26" t="s">
        <v>229</v>
      </c>
      <c r="B37" s="44"/>
    </row>
    <row r="38" spans="1:6" x14ac:dyDescent="0.2">
      <c r="A38" s="26"/>
      <c r="B38" s="44"/>
      <c r="C38" s="26"/>
    </row>
    <row r="39" spans="1:6" x14ac:dyDescent="0.2">
      <c r="A39" s="26"/>
      <c r="B39" s="44"/>
      <c r="C39" s="26"/>
    </row>
    <row r="40" spans="1:6" x14ac:dyDescent="0.2">
      <c r="A40" s="26"/>
      <c r="B40" s="44"/>
    </row>
    <row r="41" spans="1:6" x14ac:dyDescent="0.2">
      <c r="A41" s="26"/>
      <c r="B41" s="44"/>
    </row>
    <row r="42" spans="1:6" x14ac:dyDescent="0.2">
      <c r="A42" s="26"/>
      <c r="B42" s="44"/>
    </row>
    <row r="43" spans="1:6" x14ac:dyDescent="0.2">
      <c r="A43" s="54"/>
      <c r="B43" s="44"/>
    </row>
    <row r="44" spans="1:6" x14ac:dyDescent="0.2">
      <c r="A44" s="54"/>
      <c r="B44" s="44"/>
    </row>
    <row r="45" spans="1:6" x14ac:dyDescent="0.2">
      <c r="A45" s="54"/>
      <c r="B45" s="44"/>
    </row>
    <row r="46" spans="1:6" x14ac:dyDescent="0.2">
      <c r="A46" s="54"/>
      <c r="B46" s="44"/>
    </row>
    <row r="47" spans="1:6" x14ac:dyDescent="0.2">
      <c r="A47" s="54"/>
      <c r="B47" s="44"/>
    </row>
    <row r="48" spans="1:6" x14ac:dyDescent="0.2">
      <c r="A48" s="54"/>
      <c r="B48" s="44"/>
    </row>
    <row r="49" spans="1:2" x14ac:dyDescent="0.2">
      <c r="A49" s="54"/>
      <c r="B49" s="44"/>
    </row>
    <row r="50" spans="1:2" x14ac:dyDescent="0.2">
      <c r="A50" s="44"/>
      <c r="B50" s="44"/>
    </row>
    <row r="51" spans="1:2" x14ac:dyDescent="0.2">
      <c r="A51" s="26"/>
      <c r="B51" s="26"/>
    </row>
    <row r="52" spans="1:2" x14ac:dyDescent="0.2">
      <c r="A52" s="26"/>
      <c r="B52" s="26"/>
    </row>
    <row r="53" spans="1:2" x14ac:dyDescent="0.2">
      <c r="A53" s="26"/>
      <c r="B53" s="26"/>
    </row>
    <row r="54" spans="1:2" x14ac:dyDescent="0.2">
      <c r="A54" s="26"/>
      <c r="B54" s="26"/>
    </row>
    <row r="55" spans="1:2" x14ac:dyDescent="0.2">
      <c r="A55" s="26"/>
      <c r="B55" s="26"/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50"/>
  <sheetViews>
    <sheetView topLeftCell="A7" workbookViewId="0">
      <selection activeCell="C20" activeCellId="2" sqref="C26 C25 C20"/>
    </sheetView>
  </sheetViews>
  <sheetFormatPr baseColWidth="10" defaultColWidth="8.83203125" defaultRowHeight="15" x14ac:dyDescent="0.2"/>
  <cols>
    <col min="1" max="1" width="53.5" bestFit="1" customWidth="1"/>
    <col min="2" max="2" width="28.5" bestFit="1" customWidth="1"/>
    <col min="3" max="3" width="24.83203125" bestFit="1" customWidth="1"/>
    <col min="4" max="4" width="19.83203125" bestFit="1" customWidth="1"/>
    <col min="5" max="5" width="22" bestFit="1" customWidth="1"/>
    <col min="6" max="6" width="39.83203125" bestFit="1" customWidth="1"/>
    <col min="9" max="9" width="7" bestFit="1" customWidth="1"/>
    <col min="10" max="10" width="15.5" bestFit="1" customWidth="1"/>
    <col min="12" max="12" width="34.5" customWidth="1"/>
    <col min="14" max="14" width="19.33203125" bestFit="1" customWidth="1"/>
    <col min="16" max="16" width="20.5" bestFit="1" customWidth="1"/>
  </cols>
  <sheetData>
    <row r="1" spans="1:8" ht="21" x14ac:dyDescent="0.25">
      <c r="A1" s="1" t="s">
        <v>223</v>
      </c>
    </row>
    <row r="2" spans="1:8" x14ac:dyDescent="0.2">
      <c r="A2" s="26"/>
      <c r="C2" s="26"/>
      <c r="D2" s="26"/>
    </row>
    <row r="3" spans="1:8" s="26" customFormat="1" x14ac:dyDescent="0.2">
      <c r="A3" s="43"/>
      <c r="B3" s="43"/>
      <c r="C3" s="43"/>
    </row>
    <row r="4" spans="1:8" s="26" customFormat="1" x14ac:dyDescent="0.2">
      <c r="A4" s="43"/>
      <c r="B4" s="43"/>
      <c r="C4" s="43"/>
    </row>
    <row r="5" spans="1:8" s="26" customFormat="1" x14ac:dyDescent="0.2">
      <c r="A5" s="32" t="s">
        <v>1</v>
      </c>
      <c r="B5" s="25"/>
      <c r="C5" s="32" t="s">
        <v>2</v>
      </c>
    </row>
    <row r="6" spans="1:8" s="26" customFormat="1" x14ac:dyDescent="0.2">
      <c r="A6" s="32" t="s">
        <v>12</v>
      </c>
      <c r="B6" s="25"/>
      <c r="C6" s="32"/>
    </row>
    <row r="7" spans="1:8" s="24" customFormat="1" x14ac:dyDescent="0.2">
      <c r="A7" s="20" t="s">
        <v>224</v>
      </c>
      <c r="B7" s="20"/>
      <c r="C7" s="53">
        <v>1131.6099999999999</v>
      </c>
    </row>
    <row r="8" spans="1:8" s="24" customFormat="1" x14ac:dyDescent="0.2">
      <c r="A8" s="20" t="s">
        <v>60</v>
      </c>
      <c r="B8" s="20"/>
      <c r="C8" s="20">
        <v>115.05</v>
      </c>
    </row>
    <row r="9" spans="1:8" s="24" customFormat="1" x14ac:dyDescent="0.2">
      <c r="A9" s="20" t="s">
        <v>182</v>
      </c>
      <c r="B9" s="20"/>
      <c r="C9" s="21">
        <v>50</v>
      </c>
    </row>
    <row r="10" spans="1:8" s="24" customFormat="1" x14ac:dyDescent="0.2">
      <c r="A10" s="20" t="s">
        <v>210</v>
      </c>
      <c r="B10" s="20"/>
      <c r="C10" s="21">
        <v>152.83000000000001</v>
      </c>
      <c r="H10" s="50"/>
    </row>
    <row r="11" spans="1:8" s="24" customFormat="1" x14ac:dyDescent="0.2">
      <c r="A11" s="20" t="s">
        <v>211</v>
      </c>
      <c r="B11" s="20"/>
      <c r="C11" s="21">
        <v>207.82</v>
      </c>
      <c r="H11" s="50"/>
    </row>
    <row r="12" spans="1:8" s="24" customFormat="1" x14ac:dyDescent="0.2">
      <c r="A12" s="20" t="s">
        <v>183</v>
      </c>
      <c r="B12" s="20"/>
      <c r="C12" s="21">
        <v>125</v>
      </c>
    </row>
    <row r="13" spans="1:8" s="24" customFormat="1" x14ac:dyDescent="0.2">
      <c r="A13" s="20" t="s">
        <v>214</v>
      </c>
      <c r="B13" s="20"/>
      <c r="C13" s="21">
        <v>25</v>
      </c>
    </row>
    <row r="14" spans="1:8" s="24" customFormat="1" x14ac:dyDescent="0.2">
      <c r="A14" s="20" t="s">
        <v>216</v>
      </c>
      <c r="B14" s="20"/>
      <c r="C14" s="21">
        <v>21.65</v>
      </c>
    </row>
    <row r="15" spans="1:8" s="24" customFormat="1" x14ac:dyDescent="0.2">
      <c r="A15" s="20" t="s">
        <v>184</v>
      </c>
      <c r="B15" s="20"/>
      <c r="C15" s="21">
        <v>125</v>
      </c>
    </row>
    <row r="16" spans="1:8" s="26" customFormat="1" x14ac:dyDescent="0.2">
      <c r="A16" s="29"/>
      <c r="B16" s="29"/>
      <c r="C16" s="30"/>
    </row>
    <row r="17" spans="1:6" s="26" customFormat="1" x14ac:dyDescent="0.2">
      <c r="A17" s="32" t="s">
        <v>13</v>
      </c>
      <c r="B17" s="25"/>
      <c r="C17" s="27"/>
    </row>
    <row r="18" spans="1:6" s="24" customFormat="1" x14ac:dyDescent="0.2">
      <c r="A18" s="20" t="s">
        <v>225</v>
      </c>
      <c r="B18" s="20"/>
      <c r="C18" s="21">
        <v>252.39</v>
      </c>
    </row>
    <row r="19" spans="1:6" s="24" customFormat="1" x14ac:dyDescent="0.2">
      <c r="A19" s="20" t="s">
        <v>72</v>
      </c>
      <c r="B19" s="20"/>
      <c r="C19" s="21">
        <v>488.22</v>
      </c>
    </row>
    <row r="20" spans="1:6" s="24" customFormat="1" x14ac:dyDescent="0.2">
      <c r="A20" s="20" t="s">
        <v>73</v>
      </c>
      <c r="B20" s="20"/>
      <c r="C20" s="21">
        <v>311.55</v>
      </c>
    </row>
    <row r="21" spans="1:6" s="24" customFormat="1" x14ac:dyDescent="0.2">
      <c r="A21" s="20" t="s">
        <v>18</v>
      </c>
      <c r="B21" s="20"/>
      <c r="C21" s="21">
        <v>14.99</v>
      </c>
    </row>
    <row r="22" spans="1:6" s="24" customFormat="1" x14ac:dyDescent="0.2">
      <c r="A22" s="20" t="s">
        <v>79</v>
      </c>
      <c r="B22" s="20"/>
      <c r="C22" s="21">
        <v>181.54</v>
      </c>
    </row>
    <row r="23" spans="1:6" s="24" customFormat="1" x14ac:dyDescent="0.2">
      <c r="A23" s="20" t="s">
        <v>227</v>
      </c>
      <c r="B23" s="20"/>
      <c r="C23" s="21">
        <v>68.08</v>
      </c>
    </row>
    <row r="24" spans="1:6" s="24" customFormat="1" x14ac:dyDescent="0.2">
      <c r="A24" s="20" t="s">
        <v>185</v>
      </c>
      <c r="B24" s="20"/>
      <c r="C24" s="21">
        <v>125</v>
      </c>
    </row>
    <row r="25" spans="1:6" s="24" customFormat="1" x14ac:dyDescent="0.2">
      <c r="A25" s="20" t="s">
        <v>75</v>
      </c>
      <c r="B25" s="20"/>
      <c r="C25" s="21">
        <v>256.22000000000003</v>
      </c>
    </row>
    <row r="26" spans="1:6" s="24" customFormat="1" x14ac:dyDescent="0.2">
      <c r="A26" s="20" t="s">
        <v>78</v>
      </c>
      <c r="B26" s="20"/>
      <c r="C26" s="21">
        <v>132.22</v>
      </c>
    </row>
    <row r="27" spans="1:6" s="24" customFormat="1" x14ac:dyDescent="0.2">
      <c r="A27" s="20" t="s">
        <v>259</v>
      </c>
      <c r="B27" s="20"/>
      <c r="C27" s="55">
        <v>250</v>
      </c>
    </row>
    <row r="28" spans="1:6" s="26" customFormat="1" x14ac:dyDescent="0.2">
      <c r="A28" s="14"/>
      <c r="B28" s="14"/>
      <c r="C28" s="14"/>
      <c r="F28" s="35"/>
    </row>
    <row r="30" spans="1:6" x14ac:dyDescent="0.2">
      <c r="A30" s="26"/>
      <c r="B30" s="26"/>
      <c r="C30" s="26"/>
    </row>
    <row r="31" spans="1:6" s="26" customFormat="1" x14ac:dyDescent="0.2">
      <c r="A31" s="26" t="s">
        <v>230</v>
      </c>
      <c r="B31" s="44" t="s">
        <v>256</v>
      </c>
    </row>
    <row r="32" spans="1:6" s="26" customFormat="1" x14ac:dyDescent="0.2">
      <c r="A32" s="26" t="s">
        <v>231</v>
      </c>
      <c r="B32" s="44" t="s">
        <v>254</v>
      </c>
    </row>
    <row r="33" spans="1:3" x14ac:dyDescent="0.2">
      <c r="A33" s="26" t="s">
        <v>232</v>
      </c>
      <c r="B33" s="44" t="s">
        <v>255</v>
      </c>
      <c r="C33" s="26"/>
    </row>
    <row r="34" spans="1:3" x14ac:dyDescent="0.2">
      <c r="A34" s="26" t="s">
        <v>257</v>
      </c>
      <c r="B34" s="44" t="s">
        <v>243</v>
      </c>
      <c r="C34" s="26"/>
    </row>
    <row r="35" spans="1:3" x14ac:dyDescent="0.2">
      <c r="A35" s="26" t="s">
        <v>233</v>
      </c>
      <c r="B35" s="44" t="s">
        <v>244</v>
      </c>
    </row>
    <row r="36" spans="1:3" x14ac:dyDescent="0.2">
      <c r="A36" s="26" t="s">
        <v>234</v>
      </c>
      <c r="B36" s="44" t="s">
        <v>245</v>
      </c>
    </row>
    <row r="37" spans="1:3" x14ac:dyDescent="0.2">
      <c r="A37" s="26" t="s">
        <v>235</v>
      </c>
      <c r="B37" s="44" t="s">
        <v>246</v>
      </c>
    </row>
    <row r="38" spans="1:3" x14ac:dyDescent="0.2">
      <c r="A38" s="54" t="s">
        <v>236</v>
      </c>
      <c r="B38" s="44" t="s">
        <v>247</v>
      </c>
    </row>
    <row r="39" spans="1:3" x14ac:dyDescent="0.2">
      <c r="A39" s="54" t="s">
        <v>237</v>
      </c>
      <c r="B39" s="44" t="s">
        <v>248</v>
      </c>
    </row>
    <row r="40" spans="1:3" x14ac:dyDescent="0.2">
      <c r="A40" s="54" t="s">
        <v>238</v>
      </c>
      <c r="B40" s="44" t="s">
        <v>249</v>
      </c>
    </row>
    <row r="41" spans="1:3" x14ac:dyDescent="0.2">
      <c r="A41" s="54" t="s">
        <v>239</v>
      </c>
      <c r="B41" s="44" t="s">
        <v>250</v>
      </c>
    </row>
    <row r="42" spans="1:3" x14ac:dyDescent="0.2">
      <c r="A42" s="54" t="s">
        <v>240</v>
      </c>
      <c r="B42" s="44" t="s">
        <v>251</v>
      </c>
    </row>
    <row r="43" spans="1:3" x14ac:dyDescent="0.2">
      <c r="A43" s="54" t="s">
        <v>241</v>
      </c>
      <c r="B43" s="44" t="s">
        <v>252</v>
      </c>
    </row>
    <row r="44" spans="1:3" x14ac:dyDescent="0.2">
      <c r="A44" s="54" t="s">
        <v>242</v>
      </c>
      <c r="B44" s="44" t="s">
        <v>253</v>
      </c>
    </row>
    <row r="45" spans="1:3" x14ac:dyDescent="0.2">
      <c r="A45" s="44"/>
      <c r="B45" s="44"/>
    </row>
    <row r="46" spans="1:3" x14ac:dyDescent="0.2">
      <c r="A46" s="26"/>
      <c r="B46" s="26"/>
    </row>
    <row r="47" spans="1:3" x14ac:dyDescent="0.2">
      <c r="A47" s="26"/>
      <c r="B47" s="26"/>
    </row>
    <row r="48" spans="1:3" x14ac:dyDescent="0.2">
      <c r="A48" s="26"/>
      <c r="B48" s="26"/>
    </row>
    <row r="49" spans="1:2" x14ac:dyDescent="0.2">
      <c r="A49" s="26"/>
      <c r="B49" s="26"/>
    </row>
    <row r="50" spans="1:2" x14ac:dyDescent="0.2">
      <c r="A50" s="26"/>
      <c r="B50" s="26"/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J37"/>
  <sheetViews>
    <sheetView workbookViewId="0">
      <selection activeCell="A29" sqref="A29:XFD29"/>
    </sheetView>
  </sheetViews>
  <sheetFormatPr baseColWidth="10" defaultColWidth="8.83203125" defaultRowHeight="15" x14ac:dyDescent="0.2"/>
  <cols>
    <col min="1" max="1" width="40.5" bestFit="1" customWidth="1"/>
    <col min="3" max="3" width="24.83203125" bestFit="1" customWidth="1"/>
    <col min="4" max="4" width="9.33203125" bestFit="1" customWidth="1"/>
    <col min="5" max="5" width="9.33203125" customWidth="1"/>
    <col min="6" max="6" width="9" customWidth="1"/>
    <col min="9" max="9" width="7" bestFit="1" customWidth="1"/>
    <col min="10" max="10" width="5.83203125" customWidth="1"/>
    <col min="12" max="12" width="10.6640625" customWidth="1"/>
    <col min="14" max="14" width="9" customWidth="1"/>
    <col min="16" max="16" width="8.83203125" customWidth="1"/>
  </cols>
  <sheetData>
    <row r="1" spans="1:10" ht="21" x14ac:dyDescent="0.25">
      <c r="A1" s="1" t="s">
        <v>219</v>
      </c>
    </row>
    <row r="2" spans="1:10" x14ac:dyDescent="0.2">
      <c r="A2" s="26"/>
      <c r="C2" s="26"/>
      <c r="D2" s="26"/>
    </row>
    <row r="3" spans="1:10" s="26" customFormat="1" x14ac:dyDescent="0.2">
      <c r="A3" s="43"/>
      <c r="B3" s="43"/>
      <c r="C3" s="43"/>
    </row>
    <row r="4" spans="1:10" s="26" customFormat="1" x14ac:dyDescent="0.2">
      <c r="A4" s="43"/>
      <c r="B4" s="43"/>
      <c r="C4" s="43"/>
      <c r="I4" s="44"/>
      <c r="J4" s="44"/>
    </row>
    <row r="5" spans="1:10" s="26" customFormat="1" x14ac:dyDescent="0.2">
      <c r="A5" s="32" t="s">
        <v>1</v>
      </c>
      <c r="B5" s="25"/>
      <c r="C5" s="32" t="s">
        <v>2</v>
      </c>
      <c r="I5" s="44"/>
      <c r="J5" s="44"/>
    </row>
    <row r="6" spans="1:10" s="26" customFormat="1" x14ac:dyDescent="0.2">
      <c r="A6" s="32" t="s">
        <v>12</v>
      </c>
      <c r="B6" s="25"/>
      <c r="C6" s="32"/>
      <c r="I6" s="44"/>
      <c r="J6" s="44"/>
    </row>
    <row r="7" spans="1:10" s="24" customFormat="1" x14ac:dyDescent="0.2">
      <c r="A7" s="20" t="s">
        <v>60</v>
      </c>
      <c r="B7" s="20"/>
      <c r="C7" s="20">
        <v>111.58</v>
      </c>
      <c r="F7" s="26"/>
      <c r="I7" s="44"/>
      <c r="J7" s="44"/>
    </row>
    <row r="8" spans="1:10" s="24" customFormat="1" x14ac:dyDescent="0.2">
      <c r="A8" s="20" t="s">
        <v>222</v>
      </c>
      <c r="B8" s="20"/>
      <c r="C8" s="21">
        <v>328.62</v>
      </c>
      <c r="I8" s="41"/>
      <c r="J8" s="41"/>
    </row>
    <row r="9" spans="1:10" s="24" customFormat="1" x14ac:dyDescent="0.2">
      <c r="A9" s="20" t="s">
        <v>182</v>
      </c>
      <c r="B9" s="20"/>
      <c r="C9" s="21">
        <v>85</v>
      </c>
      <c r="F9" s="26"/>
      <c r="I9" s="44"/>
      <c r="J9" s="44"/>
    </row>
    <row r="10" spans="1:10" s="24" customFormat="1" x14ac:dyDescent="0.2">
      <c r="A10" s="20" t="s">
        <v>221</v>
      </c>
      <c r="B10" s="20"/>
      <c r="C10" s="21">
        <v>100</v>
      </c>
      <c r="F10" s="26"/>
      <c r="I10" s="44"/>
      <c r="J10" s="44"/>
    </row>
    <row r="11" spans="1:10" s="24" customFormat="1" x14ac:dyDescent="0.2">
      <c r="A11" s="20" t="s">
        <v>220</v>
      </c>
      <c r="B11" s="20"/>
      <c r="C11" s="21">
        <v>95</v>
      </c>
      <c r="F11" s="26"/>
      <c r="I11" s="44"/>
      <c r="J11" s="44"/>
    </row>
    <row r="12" spans="1:10" s="24" customFormat="1" x14ac:dyDescent="0.2">
      <c r="A12" s="20" t="s">
        <v>210</v>
      </c>
      <c r="B12" s="20"/>
      <c r="C12" s="21">
        <v>152.83000000000001</v>
      </c>
      <c r="H12" s="50"/>
      <c r="I12" s="44"/>
      <c r="J12" s="44"/>
    </row>
    <row r="13" spans="1:10" s="24" customFormat="1" x14ac:dyDescent="0.2">
      <c r="A13" s="20" t="s">
        <v>211</v>
      </c>
      <c r="B13" s="20"/>
      <c r="C13" s="21">
        <v>207.82</v>
      </c>
      <c r="H13" s="50"/>
      <c r="I13" s="41"/>
      <c r="J13" s="41"/>
    </row>
    <row r="14" spans="1:10" s="24" customFormat="1" x14ac:dyDescent="0.2">
      <c r="A14" s="20" t="s">
        <v>183</v>
      </c>
      <c r="B14" s="20"/>
      <c r="C14" s="21">
        <v>85</v>
      </c>
      <c r="I14" s="44"/>
      <c r="J14" s="44"/>
    </row>
    <row r="15" spans="1:10" s="24" customFormat="1" x14ac:dyDescent="0.2">
      <c r="A15" s="20" t="s">
        <v>214</v>
      </c>
      <c r="B15" s="20"/>
      <c r="C15" s="21">
        <v>25</v>
      </c>
      <c r="I15" s="41"/>
      <c r="J15" s="41"/>
    </row>
    <row r="16" spans="1:10" s="24" customFormat="1" x14ac:dyDescent="0.2">
      <c r="A16" s="20" t="s">
        <v>147</v>
      </c>
      <c r="B16" s="20"/>
      <c r="C16" s="21">
        <v>25</v>
      </c>
      <c r="I16" s="41"/>
      <c r="J16" s="41"/>
    </row>
    <row r="17" spans="1:10" s="24" customFormat="1" x14ac:dyDescent="0.2">
      <c r="A17" s="20" t="s">
        <v>216</v>
      </c>
      <c r="B17" s="20"/>
      <c r="C17" s="21">
        <v>22.16</v>
      </c>
      <c r="I17" s="41"/>
      <c r="J17" s="41"/>
    </row>
    <row r="18" spans="1:10" s="24" customFormat="1" x14ac:dyDescent="0.2">
      <c r="A18" s="20" t="s">
        <v>184</v>
      </c>
      <c r="B18" s="20"/>
      <c r="C18" s="21">
        <v>85</v>
      </c>
      <c r="I18" s="41"/>
      <c r="J18" s="41"/>
    </row>
    <row r="19" spans="1:10" s="26" customFormat="1" x14ac:dyDescent="0.2">
      <c r="A19" s="29"/>
      <c r="B19" s="29"/>
      <c r="C19" s="30"/>
    </row>
    <row r="20" spans="1:10" s="26" customFormat="1" x14ac:dyDescent="0.2">
      <c r="A20" s="32" t="s">
        <v>13</v>
      </c>
      <c r="B20" s="25"/>
      <c r="C20" s="27"/>
    </row>
    <row r="21" spans="1:10" s="24" customFormat="1" x14ac:dyDescent="0.2">
      <c r="A21" s="20" t="s">
        <v>72</v>
      </c>
      <c r="B21" s="20"/>
      <c r="C21" s="21">
        <v>488.22</v>
      </c>
    </row>
    <row r="22" spans="1:10" s="24" customFormat="1" x14ac:dyDescent="0.2">
      <c r="A22" s="20" t="s">
        <v>73</v>
      </c>
      <c r="B22" s="20"/>
      <c r="C22" s="21">
        <v>311.55</v>
      </c>
    </row>
    <row r="23" spans="1:10" s="24" customFormat="1" x14ac:dyDescent="0.2">
      <c r="A23" s="20" t="s">
        <v>76</v>
      </c>
      <c r="B23" s="20"/>
      <c r="C23" s="21">
        <v>14.99</v>
      </c>
    </row>
    <row r="24" spans="1:10" s="24" customFormat="1" x14ac:dyDescent="0.2">
      <c r="A24" s="20" t="s">
        <v>221</v>
      </c>
      <c r="B24" s="20"/>
      <c r="C24" s="21">
        <v>115</v>
      </c>
    </row>
    <row r="25" spans="1:10" s="24" customFormat="1" x14ac:dyDescent="0.2">
      <c r="A25" s="20" t="s">
        <v>79</v>
      </c>
      <c r="B25" s="20"/>
      <c r="C25" s="21">
        <v>141</v>
      </c>
    </row>
    <row r="26" spans="1:10" s="24" customFormat="1" x14ac:dyDescent="0.2">
      <c r="A26" s="20" t="s">
        <v>189</v>
      </c>
      <c r="B26" s="20"/>
      <c r="C26" s="21">
        <v>56.85</v>
      </c>
    </row>
    <row r="27" spans="1:10" s="24" customFormat="1" x14ac:dyDescent="0.2">
      <c r="A27" s="20" t="s">
        <v>226</v>
      </c>
      <c r="B27" s="20"/>
      <c r="C27" s="21">
        <v>125</v>
      </c>
    </row>
    <row r="28" spans="1:10" s="24" customFormat="1" x14ac:dyDescent="0.2">
      <c r="A28" s="20" t="s">
        <v>75</v>
      </c>
      <c r="B28" s="20"/>
      <c r="C28" s="21">
        <v>256.22000000000003</v>
      </c>
    </row>
    <row r="29" spans="1:10" s="24" customFormat="1" x14ac:dyDescent="0.2">
      <c r="A29" s="20" t="s">
        <v>78</v>
      </c>
      <c r="B29" s="20"/>
      <c r="C29" s="21">
        <v>132.22</v>
      </c>
    </row>
    <row r="30" spans="1:10" s="26" customFormat="1" x14ac:dyDescent="0.2">
      <c r="A30" s="14"/>
      <c r="B30" s="14"/>
      <c r="C30" s="14"/>
      <c r="F30" s="35"/>
    </row>
    <row r="32" spans="1:10" x14ac:dyDescent="0.2">
      <c r="A32" s="26"/>
      <c r="B32" s="26"/>
      <c r="C32" s="26"/>
    </row>
    <row r="33" spans="1:3" s="26" customFormat="1" x14ac:dyDescent="0.2">
      <c r="B33" s="51"/>
    </row>
    <row r="34" spans="1:3" s="26" customFormat="1" x14ac:dyDescent="0.2"/>
    <row r="35" spans="1:3" x14ac:dyDescent="0.2">
      <c r="A35" s="26"/>
      <c r="B35" s="52"/>
      <c r="C35" s="26"/>
    </row>
    <row r="36" spans="1:3" x14ac:dyDescent="0.2">
      <c r="A36" s="26"/>
      <c r="B36" s="26"/>
      <c r="C36" s="26"/>
    </row>
    <row r="37" spans="1:3" x14ac:dyDescent="0.2">
      <c r="A37" s="26"/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40"/>
  <sheetViews>
    <sheetView topLeftCell="A4" workbookViewId="0">
      <selection activeCell="A32" sqref="A32:XFD32"/>
    </sheetView>
  </sheetViews>
  <sheetFormatPr baseColWidth="10" defaultColWidth="8.83203125" defaultRowHeight="15" x14ac:dyDescent="0.2"/>
  <cols>
    <col min="1" max="1" width="40.5" bestFit="1" customWidth="1"/>
    <col min="3" max="3" width="24.83203125" bestFit="1" customWidth="1"/>
    <col min="4" max="4" width="9.33203125" bestFit="1" customWidth="1"/>
    <col min="5" max="5" width="21.1640625" bestFit="1" customWidth="1"/>
    <col min="6" max="6" width="26.5" bestFit="1" customWidth="1"/>
    <col min="12" max="12" width="30.83203125" bestFit="1" customWidth="1"/>
    <col min="14" max="14" width="19.33203125" bestFit="1" customWidth="1"/>
    <col min="16" max="16" width="20.5" bestFit="1" customWidth="1"/>
  </cols>
  <sheetData>
    <row r="1" spans="1:8" ht="21" x14ac:dyDescent="0.25">
      <c r="A1" s="1" t="s">
        <v>218</v>
      </c>
    </row>
    <row r="2" spans="1:8" x14ac:dyDescent="0.2">
      <c r="A2" s="26"/>
      <c r="C2" s="26"/>
      <c r="D2" s="26"/>
    </row>
    <row r="3" spans="1:8" s="26" customFormat="1" x14ac:dyDescent="0.2">
      <c r="A3" s="43"/>
      <c r="B3" s="43"/>
      <c r="C3" s="43"/>
    </row>
    <row r="4" spans="1:8" s="26" customFormat="1" x14ac:dyDescent="0.2">
      <c r="A4" s="43"/>
      <c r="B4" s="43"/>
      <c r="C4" s="43"/>
    </row>
    <row r="5" spans="1:8" s="26" customFormat="1" x14ac:dyDescent="0.2">
      <c r="A5" s="32" t="s">
        <v>1</v>
      </c>
      <c r="B5" s="25"/>
      <c r="C5" s="32" t="s">
        <v>2</v>
      </c>
    </row>
    <row r="6" spans="1:8" s="26" customFormat="1" x14ac:dyDescent="0.2">
      <c r="A6" s="32" t="s">
        <v>12</v>
      </c>
      <c r="B6" s="25"/>
      <c r="C6" s="32"/>
    </row>
    <row r="7" spans="1:8" s="24" customFormat="1" x14ac:dyDescent="0.2">
      <c r="A7" s="20" t="s">
        <v>60</v>
      </c>
      <c r="B7" s="20"/>
      <c r="C7" s="20">
        <v>111.58</v>
      </c>
    </row>
    <row r="8" spans="1:8" s="24" customFormat="1" x14ac:dyDescent="0.2">
      <c r="A8" s="20" t="s">
        <v>59</v>
      </c>
      <c r="B8" s="20"/>
      <c r="C8" s="21">
        <v>839.24</v>
      </c>
    </row>
    <row r="9" spans="1:8" s="24" customFormat="1" x14ac:dyDescent="0.2">
      <c r="A9" s="20" t="s">
        <v>182</v>
      </c>
      <c r="B9" s="20"/>
      <c r="C9" s="21">
        <v>126</v>
      </c>
    </row>
    <row r="10" spans="1:8" s="24" customFormat="1" x14ac:dyDescent="0.2">
      <c r="A10" s="20" t="s">
        <v>210</v>
      </c>
      <c r="B10" s="20"/>
      <c r="C10" s="21">
        <v>152.83000000000001</v>
      </c>
      <c r="H10" s="50"/>
    </row>
    <row r="11" spans="1:8" s="24" customFormat="1" x14ac:dyDescent="0.2">
      <c r="A11" s="20" t="s">
        <v>211</v>
      </c>
      <c r="B11" s="20"/>
      <c r="C11" s="21">
        <v>207.82</v>
      </c>
      <c r="H11" s="50"/>
    </row>
    <row r="12" spans="1:8" s="24" customFormat="1" x14ac:dyDescent="0.2">
      <c r="A12" s="20" t="s">
        <v>183</v>
      </c>
      <c r="B12" s="20"/>
      <c r="C12" s="21">
        <v>126</v>
      </c>
    </row>
    <row r="13" spans="1:8" s="24" customFormat="1" x14ac:dyDescent="0.2">
      <c r="A13" s="20" t="s">
        <v>171</v>
      </c>
      <c r="B13" s="20"/>
      <c r="C13" s="21">
        <v>45</v>
      </c>
    </row>
    <row r="14" spans="1:8" s="24" customFormat="1" x14ac:dyDescent="0.2">
      <c r="A14" s="20" t="s">
        <v>63</v>
      </c>
      <c r="B14" s="20"/>
      <c r="C14" s="21">
        <v>13.95</v>
      </c>
    </row>
    <row r="15" spans="1:8" s="24" customFormat="1" x14ac:dyDescent="0.2">
      <c r="A15" s="20" t="s">
        <v>214</v>
      </c>
      <c r="B15" s="20"/>
      <c r="C15" s="21">
        <v>25</v>
      </c>
    </row>
    <row r="16" spans="1:8" s="24" customFormat="1" x14ac:dyDescent="0.2">
      <c r="A16" s="20" t="s">
        <v>203</v>
      </c>
      <c r="B16" s="20"/>
      <c r="C16" s="21">
        <v>25</v>
      </c>
    </row>
    <row r="17" spans="1:3" s="24" customFormat="1" x14ac:dyDescent="0.2">
      <c r="A17" s="20" t="s">
        <v>147</v>
      </c>
      <c r="B17" s="20"/>
      <c r="C17" s="21">
        <v>25</v>
      </c>
    </row>
    <row r="18" spans="1:3" s="24" customFormat="1" x14ac:dyDescent="0.2">
      <c r="A18" s="20" t="s">
        <v>216</v>
      </c>
      <c r="B18" s="20"/>
      <c r="C18" s="21">
        <v>22.16</v>
      </c>
    </row>
    <row r="19" spans="1:3" s="24" customFormat="1" x14ac:dyDescent="0.2">
      <c r="A19" s="20" t="s">
        <v>184</v>
      </c>
      <c r="B19" s="20"/>
      <c r="C19" s="21">
        <v>126</v>
      </c>
    </row>
    <row r="20" spans="1:3" s="24" customFormat="1" x14ac:dyDescent="0.2">
      <c r="A20" s="20" t="s">
        <v>66</v>
      </c>
      <c r="B20" s="20"/>
      <c r="C20" s="21">
        <v>80</v>
      </c>
    </row>
    <row r="21" spans="1:3" s="26" customFormat="1" x14ac:dyDescent="0.2">
      <c r="A21" s="29"/>
      <c r="B21" s="29"/>
      <c r="C21" s="30"/>
    </row>
    <row r="22" spans="1:3" s="26" customFormat="1" x14ac:dyDescent="0.2">
      <c r="A22" s="32" t="s">
        <v>13</v>
      </c>
      <c r="B22" s="25"/>
      <c r="C22" s="27"/>
    </row>
    <row r="23" spans="1:3" s="24" customFormat="1" x14ac:dyDescent="0.2">
      <c r="A23" s="20" t="s">
        <v>72</v>
      </c>
      <c r="B23" s="20"/>
      <c r="C23" s="21">
        <v>488.22</v>
      </c>
    </row>
    <row r="24" spans="1:3" s="24" customFormat="1" x14ac:dyDescent="0.2">
      <c r="A24" s="20" t="s">
        <v>73</v>
      </c>
      <c r="B24" s="20"/>
      <c r="C24" s="21">
        <v>311.55</v>
      </c>
    </row>
    <row r="25" spans="1:3" s="24" customFormat="1" x14ac:dyDescent="0.2">
      <c r="A25" s="20" t="s">
        <v>76</v>
      </c>
      <c r="B25" s="20"/>
      <c r="C25" s="21">
        <v>14.99</v>
      </c>
    </row>
    <row r="26" spans="1:3" s="24" customFormat="1" x14ac:dyDescent="0.2">
      <c r="A26" s="20" t="s">
        <v>79</v>
      </c>
      <c r="B26" s="20"/>
      <c r="C26" s="21">
        <v>138.63999999999999</v>
      </c>
    </row>
    <row r="27" spans="1:3" s="24" customFormat="1" x14ac:dyDescent="0.2">
      <c r="A27" s="20" t="s">
        <v>189</v>
      </c>
      <c r="B27" s="20"/>
      <c r="C27" s="21">
        <v>47.24</v>
      </c>
    </row>
    <row r="28" spans="1:3" s="24" customFormat="1" x14ac:dyDescent="0.2">
      <c r="A28" s="20" t="s">
        <v>191</v>
      </c>
      <c r="B28" s="20"/>
      <c r="C28" s="21">
        <v>25</v>
      </c>
    </row>
    <row r="29" spans="1:3" s="24" customFormat="1" x14ac:dyDescent="0.2">
      <c r="A29" s="20" t="s">
        <v>185</v>
      </c>
      <c r="B29" s="20"/>
      <c r="C29" s="21">
        <v>135</v>
      </c>
    </row>
    <row r="30" spans="1:3" s="24" customFormat="1" x14ac:dyDescent="0.2">
      <c r="A30" s="20" t="s">
        <v>75</v>
      </c>
      <c r="B30" s="20"/>
      <c r="C30" s="21">
        <v>256.22000000000003</v>
      </c>
    </row>
    <row r="31" spans="1:3" s="24" customFormat="1" x14ac:dyDescent="0.2">
      <c r="A31" s="20" t="s">
        <v>217</v>
      </c>
      <c r="B31" s="20"/>
      <c r="C31" s="21">
        <v>215.37</v>
      </c>
    </row>
    <row r="32" spans="1:3" s="24" customFormat="1" x14ac:dyDescent="0.2">
      <c r="A32" s="20" t="s">
        <v>78</v>
      </c>
      <c r="B32" s="20"/>
      <c r="C32" s="21">
        <v>132.22</v>
      </c>
    </row>
    <row r="33" spans="1:6" s="26" customFormat="1" x14ac:dyDescent="0.2">
      <c r="A33" s="14"/>
      <c r="B33" s="14"/>
      <c r="C33" s="14"/>
      <c r="F33" s="35"/>
    </row>
    <row r="35" spans="1:6" x14ac:dyDescent="0.2">
      <c r="A35" s="26"/>
      <c r="B35" s="26"/>
      <c r="C35" s="26"/>
    </row>
    <row r="36" spans="1:6" s="26" customFormat="1" x14ac:dyDescent="0.2">
      <c r="B36" s="51"/>
    </row>
    <row r="37" spans="1:6" s="26" customFormat="1" x14ac:dyDescent="0.2"/>
    <row r="38" spans="1:6" x14ac:dyDescent="0.2">
      <c r="A38" s="26"/>
      <c r="B38" s="52"/>
      <c r="C38" s="26"/>
    </row>
    <row r="39" spans="1:6" x14ac:dyDescent="0.2">
      <c r="A39" s="26"/>
      <c r="B39" s="26"/>
      <c r="C39" s="26"/>
    </row>
    <row r="40" spans="1:6" x14ac:dyDescent="0.2">
      <c r="A40" s="26"/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39"/>
  <sheetViews>
    <sheetView workbookViewId="0">
      <selection activeCell="A31" sqref="A31:XFD31"/>
    </sheetView>
  </sheetViews>
  <sheetFormatPr baseColWidth="10" defaultColWidth="8.83203125" defaultRowHeight="15" x14ac:dyDescent="0.2"/>
  <cols>
    <col min="1" max="1" width="40.5" bestFit="1" customWidth="1"/>
    <col min="3" max="3" width="24.83203125" bestFit="1" customWidth="1"/>
    <col min="4" max="4" width="9.33203125" bestFit="1" customWidth="1"/>
    <col min="5" max="5" width="21.1640625" bestFit="1" customWidth="1"/>
    <col min="6" max="6" width="26.5" bestFit="1" customWidth="1"/>
    <col min="12" max="12" width="30.83203125" bestFit="1" customWidth="1"/>
    <col min="14" max="14" width="19.33203125" bestFit="1" customWidth="1"/>
    <col min="16" max="16" width="20.5" bestFit="1" customWidth="1"/>
  </cols>
  <sheetData>
    <row r="1" spans="1:8" ht="21" x14ac:dyDescent="0.25">
      <c r="A1" s="1" t="s">
        <v>215</v>
      </c>
    </row>
    <row r="2" spans="1:8" x14ac:dyDescent="0.2">
      <c r="A2" s="26"/>
      <c r="C2" s="26"/>
      <c r="D2" s="26"/>
    </row>
    <row r="3" spans="1:8" s="26" customFormat="1" x14ac:dyDescent="0.2">
      <c r="A3" s="43"/>
      <c r="B3" s="43"/>
      <c r="C3" s="43"/>
    </row>
    <row r="4" spans="1:8" s="26" customFormat="1" x14ac:dyDescent="0.2">
      <c r="A4" s="43"/>
      <c r="B4" s="43"/>
      <c r="C4" s="43"/>
    </row>
    <row r="5" spans="1:8" s="26" customFormat="1" x14ac:dyDescent="0.2">
      <c r="A5" s="32" t="s">
        <v>1</v>
      </c>
      <c r="B5" s="25"/>
      <c r="C5" s="32" t="s">
        <v>2</v>
      </c>
    </row>
    <row r="6" spans="1:8" s="26" customFormat="1" x14ac:dyDescent="0.2">
      <c r="A6" s="32" t="s">
        <v>12</v>
      </c>
      <c r="B6" s="25"/>
      <c r="C6" s="32"/>
    </row>
    <row r="7" spans="1:8" s="24" customFormat="1" x14ac:dyDescent="0.2">
      <c r="A7" s="20" t="s">
        <v>60</v>
      </c>
      <c r="B7" s="20"/>
      <c r="C7" s="20">
        <v>111.58</v>
      </c>
    </row>
    <row r="8" spans="1:8" s="24" customFormat="1" x14ac:dyDescent="0.2">
      <c r="A8" s="20" t="s">
        <v>59</v>
      </c>
      <c r="B8" s="20"/>
      <c r="C8" s="21">
        <v>839.24</v>
      </c>
    </row>
    <row r="9" spans="1:8" s="24" customFormat="1" x14ac:dyDescent="0.2">
      <c r="A9" s="20" t="s">
        <v>182</v>
      </c>
      <c r="B9" s="20"/>
      <c r="C9" s="21">
        <v>126</v>
      </c>
    </row>
    <row r="10" spans="1:8" s="24" customFormat="1" x14ac:dyDescent="0.2">
      <c r="A10" s="20" t="s">
        <v>210</v>
      </c>
      <c r="B10" s="20"/>
      <c r="C10" s="21">
        <v>152.83000000000001</v>
      </c>
      <c r="H10" s="50"/>
    </row>
    <row r="11" spans="1:8" s="24" customFormat="1" x14ac:dyDescent="0.2">
      <c r="A11" s="20" t="s">
        <v>211</v>
      </c>
      <c r="B11" s="20"/>
      <c r="C11" s="21">
        <v>207.82</v>
      </c>
      <c r="H11" s="50"/>
    </row>
    <row r="12" spans="1:8" s="24" customFormat="1" x14ac:dyDescent="0.2">
      <c r="A12" s="20" t="s">
        <v>183</v>
      </c>
      <c r="B12" s="20"/>
      <c r="C12" s="21">
        <v>126</v>
      </c>
    </row>
    <row r="13" spans="1:8" s="24" customFormat="1" x14ac:dyDescent="0.2">
      <c r="A13" s="20" t="s">
        <v>171</v>
      </c>
      <c r="B13" s="20"/>
      <c r="C13" s="21">
        <v>45</v>
      </c>
    </row>
    <row r="14" spans="1:8" s="24" customFormat="1" x14ac:dyDescent="0.2">
      <c r="A14" s="20" t="s">
        <v>63</v>
      </c>
      <c r="B14" s="20"/>
      <c r="C14" s="21">
        <v>13.95</v>
      </c>
    </row>
    <row r="15" spans="1:8" s="24" customFormat="1" x14ac:dyDescent="0.2">
      <c r="A15" s="20" t="s">
        <v>214</v>
      </c>
      <c r="B15" s="20"/>
      <c r="C15" s="21">
        <v>25</v>
      </c>
    </row>
    <row r="16" spans="1:8" s="24" customFormat="1" x14ac:dyDescent="0.2">
      <c r="A16" s="20" t="s">
        <v>203</v>
      </c>
      <c r="B16" s="20"/>
      <c r="C16" s="21">
        <v>25</v>
      </c>
    </row>
    <row r="17" spans="1:6" s="24" customFormat="1" x14ac:dyDescent="0.2">
      <c r="A17" s="20" t="s">
        <v>189</v>
      </c>
      <c r="B17" s="20"/>
      <c r="C17" s="21">
        <v>50</v>
      </c>
    </row>
    <row r="18" spans="1:6" s="24" customFormat="1" x14ac:dyDescent="0.2">
      <c r="A18" s="20" t="s">
        <v>79</v>
      </c>
      <c r="B18" s="20"/>
      <c r="C18" s="21">
        <v>138.63999999999999</v>
      </c>
    </row>
    <row r="19" spans="1:6" s="24" customFormat="1" x14ac:dyDescent="0.2">
      <c r="A19" s="20" t="s">
        <v>216</v>
      </c>
      <c r="B19" s="20"/>
      <c r="C19" s="21">
        <v>22.16</v>
      </c>
    </row>
    <row r="20" spans="1:6" s="24" customFormat="1" x14ac:dyDescent="0.2">
      <c r="A20" s="20" t="s">
        <v>184</v>
      </c>
      <c r="B20" s="20"/>
      <c r="C20" s="21">
        <v>126</v>
      </c>
    </row>
    <row r="21" spans="1:6" s="24" customFormat="1" x14ac:dyDescent="0.2">
      <c r="A21" s="20" t="s">
        <v>66</v>
      </c>
      <c r="B21" s="20"/>
      <c r="C21" s="21">
        <v>80</v>
      </c>
    </row>
    <row r="22" spans="1:6" s="26" customFormat="1" x14ac:dyDescent="0.2">
      <c r="A22" s="29"/>
      <c r="B22" s="29"/>
      <c r="C22" s="30"/>
    </row>
    <row r="23" spans="1:6" s="26" customFormat="1" x14ac:dyDescent="0.2">
      <c r="A23" s="32" t="s">
        <v>13</v>
      </c>
      <c r="B23" s="25"/>
      <c r="C23" s="27"/>
    </row>
    <row r="24" spans="1:6" s="24" customFormat="1" x14ac:dyDescent="0.2">
      <c r="A24" s="20" t="s">
        <v>72</v>
      </c>
      <c r="B24" s="20"/>
      <c r="C24" s="21">
        <v>488.22</v>
      </c>
    </row>
    <row r="25" spans="1:6" s="24" customFormat="1" x14ac:dyDescent="0.2">
      <c r="A25" s="20" t="s">
        <v>73</v>
      </c>
      <c r="B25" s="20"/>
      <c r="C25" s="21">
        <v>311.55</v>
      </c>
    </row>
    <row r="26" spans="1:6" s="24" customFormat="1" x14ac:dyDescent="0.2">
      <c r="A26" s="20" t="s">
        <v>76</v>
      </c>
      <c r="B26" s="20"/>
      <c r="C26" s="21">
        <v>14.99</v>
      </c>
    </row>
    <row r="27" spans="1:6" s="24" customFormat="1" x14ac:dyDescent="0.2">
      <c r="A27" s="20" t="s">
        <v>191</v>
      </c>
      <c r="B27" s="20"/>
      <c r="C27" s="21">
        <v>25</v>
      </c>
    </row>
    <row r="28" spans="1:6" s="24" customFormat="1" x14ac:dyDescent="0.2">
      <c r="A28" s="20" t="s">
        <v>185</v>
      </c>
      <c r="B28" s="20"/>
      <c r="C28" s="21">
        <v>126</v>
      </c>
    </row>
    <row r="29" spans="1:6" s="24" customFormat="1" x14ac:dyDescent="0.2">
      <c r="A29" s="20" t="s">
        <v>75</v>
      </c>
      <c r="B29" s="20"/>
      <c r="C29" s="21">
        <v>256.22000000000003</v>
      </c>
    </row>
    <row r="30" spans="1:6" s="24" customFormat="1" x14ac:dyDescent="0.2">
      <c r="A30" s="20" t="s">
        <v>217</v>
      </c>
      <c r="B30" s="20"/>
      <c r="C30" s="21">
        <v>229.96</v>
      </c>
    </row>
    <row r="31" spans="1:6" s="24" customFormat="1" x14ac:dyDescent="0.2">
      <c r="A31" s="20" t="s">
        <v>78</v>
      </c>
      <c r="B31" s="20"/>
      <c r="C31" s="21">
        <v>132.22</v>
      </c>
    </row>
    <row r="32" spans="1:6" s="26" customFormat="1" x14ac:dyDescent="0.2">
      <c r="A32" s="14"/>
      <c r="B32" s="14"/>
      <c r="C32" s="14"/>
      <c r="F32" s="35"/>
    </row>
    <row r="34" spans="1:3" x14ac:dyDescent="0.2">
      <c r="A34" s="26"/>
      <c r="B34" s="26"/>
      <c r="C34" s="26"/>
    </row>
    <row r="35" spans="1:3" s="26" customFormat="1" x14ac:dyDescent="0.2">
      <c r="B35" s="51"/>
    </row>
    <row r="36" spans="1:3" s="26" customFormat="1" x14ac:dyDescent="0.2"/>
    <row r="37" spans="1:3" x14ac:dyDescent="0.2">
      <c r="A37" s="26"/>
      <c r="B37" s="52"/>
      <c r="C37" s="26"/>
    </row>
    <row r="38" spans="1:3" x14ac:dyDescent="0.2">
      <c r="A38" s="26"/>
      <c r="B38" s="26"/>
      <c r="C38" s="26"/>
    </row>
    <row r="39" spans="1:3" x14ac:dyDescent="0.2">
      <c r="A39" s="26"/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39"/>
  <sheetViews>
    <sheetView workbookViewId="0"/>
  </sheetViews>
  <sheetFormatPr baseColWidth="10" defaultColWidth="8.83203125" defaultRowHeight="15" x14ac:dyDescent="0.2"/>
  <cols>
    <col min="1" max="1" width="40.5" bestFit="1" customWidth="1"/>
    <col min="3" max="3" width="24.83203125" bestFit="1" customWidth="1"/>
    <col min="4" max="4" width="9.33203125" bestFit="1" customWidth="1"/>
    <col min="5" max="5" width="21.1640625" bestFit="1" customWidth="1"/>
    <col min="6" max="6" width="26.5" bestFit="1" customWidth="1"/>
    <col min="12" max="12" width="30.83203125" bestFit="1" customWidth="1"/>
    <col min="14" max="14" width="19.33203125" bestFit="1" customWidth="1"/>
    <col min="16" max="16" width="20.5" bestFit="1" customWidth="1"/>
  </cols>
  <sheetData>
    <row r="1" spans="1:8" ht="21" x14ac:dyDescent="0.25">
      <c r="A1" s="1" t="s">
        <v>212</v>
      </c>
    </row>
    <row r="2" spans="1:8" x14ac:dyDescent="0.2">
      <c r="A2" s="26"/>
      <c r="C2" s="26"/>
      <c r="D2" s="26"/>
    </row>
    <row r="3" spans="1:8" s="26" customFormat="1" x14ac:dyDescent="0.2">
      <c r="A3" s="43"/>
      <c r="B3" s="43"/>
      <c r="C3" s="43"/>
    </row>
    <row r="4" spans="1:8" s="26" customFormat="1" x14ac:dyDescent="0.2">
      <c r="A4" s="43"/>
      <c r="B4" s="43"/>
      <c r="C4" s="43"/>
    </row>
    <row r="5" spans="1:8" s="26" customFormat="1" x14ac:dyDescent="0.2">
      <c r="A5" s="32" t="s">
        <v>1</v>
      </c>
      <c r="B5" s="25"/>
      <c r="C5" s="32" t="s">
        <v>2</v>
      </c>
    </row>
    <row r="6" spans="1:8" s="26" customFormat="1" x14ac:dyDescent="0.2">
      <c r="A6" s="32" t="s">
        <v>12</v>
      </c>
      <c r="B6" s="25"/>
      <c r="C6" s="32"/>
    </row>
    <row r="7" spans="1:8" s="24" customFormat="1" x14ac:dyDescent="0.2">
      <c r="A7" s="20" t="s">
        <v>60</v>
      </c>
      <c r="B7" s="20"/>
      <c r="C7" s="20">
        <v>111.58</v>
      </c>
    </row>
    <row r="8" spans="1:8" s="24" customFormat="1" x14ac:dyDescent="0.2">
      <c r="A8" s="20" t="s">
        <v>59</v>
      </c>
      <c r="B8" s="20"/>
      <c r="C8" s="21">
        <v>839.24</v>
      </c>
    </row>
    <row r="9" spans="1:8" s="24" customFormat="1" x14ac:dyDescent="0.2">
      <c r="A9" s="20" t="s">
        <v>182</v>
      </c>
      <c r="B9" s="20"/>
      <c r="C9" s="21">
        <v>126</v>
      </c>
    </row>
    <row r="10" spans="1:8" s="24" customFormat="1" x14ac:dyDescent="0.2">
      <c r="A10" s="20" t="s">
        <v>210</v>
      </c>
      <c r="B10" s="20"/>
      <c r="C10" s="21">
        <v>152.83000000000001</v>
      </c>
      <c r="H10" s="50"/>
    </row>
    <row r="11" spans="1:8" s="24" customFormat="1" x14ac:dyDescent="0.2">
      <c r="A11" s="20" t="s">
        <v>211</v>
      </c>
      <c r="B11" s="20"/>
      <c r="C11" s="21">
        <v>207.82</v>
      </c>
      <c r="H11" s="50"/>
    </row>
    <row r="12" spans="1:8" s="24" customFormat="1" x14ac:dyDescent="0.2">
      <c r="A12" s="20" t="s">
        <v>183</v>
      </c>
      <c r="B12" s="20"/>
      <c r="C12" s="21">
        <v>126</v>
      </c>
    </row>
    <row r="13" spans="1:8" s="24" customFormat="1" x14ac:dyDescent="0.2">
      <c r="A13" s="20" t="s">
        <v>171</v>
      </c>
      <c r="B13" s="20"/>
      <c r="C13" s="21">
        <v>45</v>
      </c>
    </row>
    <row r="14" spans="1:8" s="24" customFormat="1" x14ac:dyDescent="0.2">
      <c r="A14" s="20" t="s">
        <v>63</v>
      </c>
      <c r="B14" s="20"/>
      <c r="C14" s="21">
        <v>13.95</v>
      </c>
    </row>
    <row r="15" spans="1:8" s="24" customFormat="1" x14ac:dyDescent="0.2">
      <c r="A15" s="20" t="s">
        <v>214</v>
      </c>
      <c r="B15" s="20"/>
      <c r="C15" s="21">
        <v>25</v>
      </c>
    </row>
    <row r="16" spans="1:8" s="24" customFormat="1" x14ac:dyDescent="0.2">
      <c r="A16" s="20" t="s">
        <v>203</v>
      </c>
      <c r="B16" s="20"/>
      <c r="C16" s="21">
        <v>25</v>
      </c>
    </row>
    <row r="17" spans="1:6" s="24" customFormat="1" x14ac:dyDescent="0.2">
      <c r="A17" s="20" t="s">
        <v>184</v>
      </c>
      <c r="B17" s="20"/>
      <c r="C17" s="21">
        <v>126</v>
      </c>
    </row>
    <row r="18" spans="1:6" s="24" customFormat="1" x14ac:dyDescent="0.2">
      <c r="A18" s="20" t="s">
        <v>66</v>
      </c>
      <c r="B18" s="20"/>
      <c r="C18" s="21">
        <v>95</v>
      </c>
    </row>
    <row r="19" spans="1:6" s="26" customFormat="1" x14ac:dyDescent="0.2">
      <c r="A19" s="29"/>
      <c r="B19" s="29"/>
      <c r="C19" s="30"/>
    </row>
    <row r="20" spans="1:6" s="26" customFormat="1" x14ac:dyDescent="0.2">
      <c r="A20" s="32" t="s">
        <v>13</v>
      </c>
      <c r="B20" s="25"/>
      <c r="C20" s="27"/>
    </row>
    <row r="21" spans="1:6" s="24" customFormat="1" x14ac:dyDescent="0.2">
      <c r="A21" s="20" t="s">
        <v>72</v>
      </c>
      <c r="B21" s="20"/>
      <c r="C21" s="21">
        <v>488.22</v>
      </c>
    </row>
    <row r="22" spans="1:6" s="24" customFormat="1" x14ac:dyDescent="0.2">
      <c r="A22" s="20" t="s">
        <v>79</v>
      </c>
      <c r="B22" s="20"/>
      <c r="C22" s="21">
        <v>138.63999999999999</v>
      </c>
    </row>
    <row r="23" spans="1:6" s="24" customFormat="1" x14ac:dyDescent="0.2">
      <c r="A23" s="20" t="s">
        <v>73</v>
      </c>
      <c r="B23" s="20"/>
      <c r="C23" s="21">
        <v>311.55</v>
      </c>
    </row>
    <row r="24" spans="1:6" s="24" customFormat="1" x14ac:dyDescent="0.2">
      <c r="A24" s="20" t="s">
        <v>189</v>
      </c>
      <c r="B24" s="20"/>
      <c r="C24" s="21">
        <v>51</v>
      </c>
    </row>
    <row r="25" spans="1:6" s="24" customFormat="1" x14ac:dyDescent="0.2">
      <c r="A25" s="20" t="s">
        <v>76</v>
      </c>
      <c r="B25" s="20"/>
      <c r="C25" s="21">
        <v>14.99</v>
      </c>
    </row>
    <row r="26" spans="1:6" s="24" customFormat="1" x14ac:dyDescent="0.2">
      <c r="A26" s="20" t="s">
        <v>191</v>
      </c>
      <c r="B26" s="20"/>
      <c r="C26" s="21">
        <v>25</v>
      </c>
    </row>
    <row r="27" spans="1:6" s="24" customFormat="1" x14ac:dyDescent="0.2">
      <c r="A27" s="20" t="s">
        <v>185</v>
      </c>
      <c r="B27" s="20"/>
      <c r="C27" s="21">
        <v>126</v>
      </c>
    </row>
    <row r="28" spans="1:6" s="24" customFormat="1" x14ac:dyDescent="0.2">
      <c r="A28" s="20" t="s">
        <v>75</v>
      </c>
      <c r="B28" s="20"/>
      <c r="C28" s="21">
        <v>256.22000000000003</v>
      </c>
    </row>
    <row r="29" spans="1:6" s="24" customFormat="1" x14ac:dyDescent="0.2">
      <c r="A29" s="20" t="s">
        <v>213</v>
      </c>
      <c r="B29" s="20"/>
      <c r="C29" s="21">
        <v>126</v>
      </c>
    </row>
    <row r="30" spans="1:6" s="24" customFormat="1" x14ac:dyDescent="0.2">
      <c r="A30" s="20" t="s">
        <v>201</v>
      </c>
      <c r="B30" s="20"/>
      <c r="C30" s="21">
        <v>221.46</v>
      </c>
    </row>
    <row r="31" spans="1:6" s="24" customFormat="1" x14ac:dyDescent="0.2">
      <c r="A31" s="20" t="s">
        <v>78</v>
      </c>
      <c r="B31" s="20"/>
      <c r="C31" s="21">
        <v>132.22</v>
      </c>
    </row>
    <row r="32" spans="1:6" s="26" customFormat="1" x14ac:dyDescent="0.2">
      <c r="A32" s="14"/>
      <c r="B32" s="14"/>
      <c r="C32" s="14"/>
      <c r="F32" s="35"/>
    </row>
    <row r="34" spans="1:3" x14ac:dyDescent="0.2">
      <c r="A34" s="26"/>
      <c r="B34" s="26"/>
      <c r="C34" s="26"/>
    </row>
    <row r="35" spans="1:3" s="26" customFormat="1" x14ac:dyDescent="0.2">
      <c r="B35" s="51"/>
    </row>
    <row r="36" spans="1:3" s="26" customFormat="1" x14ac:dyDescent="0.2"/>
    <row r="37" spans="1:3" x14ac:dyDescent="0.2">
      <c r="A37" s="26"/>
      <c r="B37" s="52"/>
      <c r="C37" s="26"/>
    </row>
    <row r="38" spans="1:3" x14ac:dyDescent="0.2">
      <c r="A38" s="26"/>
      <c r="B38" s="26"/>
      <c r="C38" s="26"/>
    </row>
    <row r="39" spans="1:3" x14ac:dyDescent="0.2">
      <c r="A39" s="26"/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38"/>
  <sheetViews>
    <sheetView workbookViewId="0">
      <selection activeCell="A30" sqref="A30:XFD30"/>
    </sheetView>
  </sheetViews>
  <sheetFormatPr baseColWidth="10" defaultColWidth="8.83203125" defaultRowHeight="15" x14ac:dyDescent="0.2"/>
  <cols>
    <col min="1" max="1" width="40.5" bestFit="1" customWidth="1"/>
    <col min="3" max="3" width="24.83203125" bestFit="1" customWidth="1"/>
    <col min="4" max="4" width="9.33203125" bestFit="1" customWidth="1"/>
    <col min="5" max="5" width="21.1640625" bestFit="1" customWidth="1"/>
    <col min="6" max="6" width="26.5" bestFit="1" customWidth="1"/>
    <col min="12" max="12" width="30.83203125" bestFit="1" customWidth="1"/>
    <col min="14" max="14" width="19.33203125" bestFit="1" customWidth="1"/>
    <col min="16" max="16" width="20.5" bestFit="1" customWidth="1"/>
  </cols>
  <sheetData>
    <row r="1" spans="1:8" ht="21" x14ac:dyDescent="0.25">
      <c r="A1" s="1" t="s">
        <v>117</v>
      </c>
    </row>
    <row r="2" spans="1:8" x14ac:dyDescent="0.2">
      <c r="A2" s="26"/>
      <c r="C2" s="26"/>
      <c r="D2" s="26"/>
    </row>
    <row r="3" spans="1:8" s="26" customFormat="1" x14ac:dyDescent="0.2">
      <c r="A3" s="43"/>
      <c r="B3" s="43"/>
      <c r="C3" s="43"/>
    </row>
    <row r="4" spans="1:8" s="26" customFormat="1" x14ac:dyDescent="0.2">
      <c r="A4" s="43"/>
      <c r="B4" s="43"/>
      <c r="C4" s="43"/>
    </row>
    <row r="5" spans="1:8" s="26" customFormat="1" x14ac:dyDescent="0.2">
      <c r="A5" s="32" t="s">
        <v>1</v>
      </c>
      <c r="B5" s="25"/>
      <c r="C5" s="32" t="s">
        <v>2</v>
      </c>
    </row>
    <row r="6" spans="1:8" s="26" customFormat="1" x14ac:dyDescent="0.2">
      <c r="A6" s="32" t="s">
        <v>12</v>
      </c>
      <c r="B6" s="25"/>
      <c r="C6" s="32"/>
    </row>
    <row r="7" spans="1:8" s="24" customFormat="1" x14ac:dyDescent="0.2">
      <c r="A7" s="20" t="s">
        <v>60</v>
      </c>
      <c r="B7" s="20"/>
      <c r="C7" s="20">
        <v>111.58</v>
      </c>
    </row>
    <row r="8" spans="1:8" s="24" customFormat="1" x14ac:dyDescent="0.2">
      <c r="A8" s="20" t="s">
        <v>59</v>
      </c>
      <c r="B8" s="20"/>
      <c r="C8" s="21">
        <v>839.24</v>
      </c>
    </row>
    <row r="9" spans="1:8" s="24" customFormat="1" x14ac:dyDescent="0.2">
      <c r="A9" s="20" t="s">
        <v>182</v>
      </c>
      <c r="B9" s="20"/>
      <c r="C9" s="21">
        <v>126</v>
      </c>
    </row>
    <row r="10" spans="1:8" s="24" customFormat="1" x14ac:dyDescent="0.2">
      <c r="A10" s="20" t="s">
        <v>210</v>
      </c>
      <c r="B10" s="20"/>
      <c r="C10" s="21">
        <v>152.83000000000001</v>
      </c>
      <c r="H10" s="50"/>
    </row>
    <row r="11" spans="1:8" s="24" customFormat="1" x14ac:dyDescent="0.2">
      <c r="A11" s="20" t="s">
        <v>211</v>
      </c>
      <c r="B11" s="20"/>
      <c r="C11" s="21">
        <v>207.82</v>
      </c>
      <c r="H11" s="50"/>
    </row>
    <row r="12" spans="1:8" s="24" customFormat="1" x14ac:dyDescent="0.2">
      <c r="A12" s="20" t="s">
        <v>183</v>
      </c>
      <c r="B12" s="20"/>
      <c r="C12" s="21">
        <v>126</v>
      </c>
    </row>
    <row r="13" spans="1:8" s="24" customFormat="1" x14ac:dyDescent="0.2">
      <c r="A13" s="20" t="s">
        <v>171</v>
      </c>
      <c r="B13" s="20"/>
      <c r="C13" s="21">
        <v>45</v>
      </c>
    </row>
    <row r="14" spans="1:8" s="24" customFormat="1" x14ac:dyDescent="0.2">
      <c r="A14" s="20" t="s">
        <v>63</v>
      </c>
      <c r="B14" s="20"/>
      <c r="C14" s="21">
        <v>13.95</v>
      </c>
    </row>
    <row r="15" spans="1:8" s="24" customFormat="1" x14ac:dyDescent="0.2">
      <c r="A15" s="20" t="s">
        <v>202</v>
      </c>
      <c r="B15" s="20"/>
      <c r="C15" s="21">
        <v>25</v>
      </c>
    </row>
    <row r="16" spans="1:8" s="24" customFormat="1" x14ac:dyDescent="0.2">
      <c r="A16" s="20" t="s">
        <v>203</v>
      </c>
      <c r="B16" s="20"/>
      <c r="C16" s="21">
        <v>25</v>
      </c>
    </row>
    <row r="17" spans="1:6" s="24" customFormat="1" x14ac:dyDescent="0.2">
      <c r="A17" s="20" t="s">
        <v>184</v>
      </c>
      <c r="B17" s="20"/>
      <c r="C17" s="21">
        <v>126</v>
      </c>
    </row>
    <row r="18" spans="1:6" s="24" customFormat="1" x14ac:dyDescent="0.2">
      <c r="A18" s="20" t="s">
        <v>66</v>
      </c>
      <c r="B18" s="20"/>
      <c r="C18" s="21">
        <v>58.22</v>
      </c>
    </row>
    <row r="19" spans="1:6" s="26" customFormat="1" x14ac:dyDescent="0.2">
      <c r="A19" s="29"/>
      <c r="B19" s="29"/>
      <c r="C19" s="30"/>
      <c r="F19" s="24"/>
    </row>
    <row r="20" spans="1:6" s="26" customFormat="1" x14ac:dyDescent="0.2">
      <c r="A20" s="32" t="s">
        <v>13</v>
      </c>
      <c r="B20" s="25"/>
      <c r="C20" s="27"/>
      <c r="F20" s="24"/>
    </row>
    <row r="21" spans="1:6" s="24" customFormat="1" x14ac:dyDescent="0.2">
      <c r="A21" s="20" t="s">
        <v>72</v>
      </c>
      <c r="B21" s="20"/>
      <c r="C21" s="21">
        <v>488.22</v>
      </c>
    </row>
    <row r="22" spans="1:6" s="24" customFormat="1" x14ac:dyDescent="0.2">
      <c r="A22" s="20" t="s">
        <v>79</v>
      </c>
      <c r="B22" s="20"/>
      <c r="C22" s="21">
        <v>138.63999999999999</v>
      </c>
    </row>
    <row r="23" spans="1:6" s="24" customFormat="1" x14ac:dyDescent="0.2">
      <c r="A23" s="20" t="s">
        <v>73</v>
      </c>
      <c r="B23" s="20"/>
      <c r="C23" s="21">
        <v>311.55</v>
      </c>
    </row>
    <row r="24" spans="1:6" s="24" customFormat="1" x14ac:dyDescent="0.2">
      <c r="A24" s="20" t="s">
        <v>189</v>
      </c>
      <c r="B24" s="20"/>
      <c r="C24" s="21">
        <v>45.7</v>
      </c>
    </row>
    <row r="25" spans="1:6" s="24" customFormat="1" x14ac:dyDescent="0.2">
      <c r="A25" s="20" t="s">
        <v>76</v>
      </c>
      <c r="B25" s="20"/>
      <c r="C25" s="21">
        <v>14.99</v>
      </c>
    </row>
    <row r="26" spans="1:6" s="24" customFormat="1" x14ac:dyDescent="0.2">
      <c r="A26" s="20" t="s">
        <v>191</v>
      </c>
      <c r="B26" s="20"/>
      <c r="C26" s="21">
        <v>25</v>
      </c>
    </row>
    <row r="27" spans="1:6" s="24" customFormat="1" x14ac:dyDescent="0.2">
      <c r="A27" s="20" t="s">
        <v>185</v>
      </c>
      <c r="B27" s="20"/>
      <c r="C27" s="21">
        <v>126</v>
      </c>
    </row>
    <row r="28" spans="1:6" s="24" customFormat="1" x14ac:dyDescent="0.2">
      <c r="A28" s="20" t="s">
        <v>75</v>
      </c>
      <c r="B28" s="20"/>
      <c r="C28" s="21">
        <v>256.22000000000003</v>
      </c>
    </row>
    <row r="29" spans="1:6" s="24" customFormat="1" x14ac:dyDescent="0.2">
      <c r="A29" s="20" t="s">
        <v>201</v>
      </c>
      <c r="B29" s="20"/>
      <c r="C29" s="21">
        <v>233.58</v>
      </c>
    </row>
    <row r="30" spans="1:6" s="24" customFormat="1" x14ac:dyDescent="0.2">
      <c r="A30" s="20" t="s">
        <v>78</v>
      </c>
      <c r="B30" s="20"/>
      <c r="C30" s="21">
        <v>132.16</v>
      </c>
    </row>
    <row r="31" spans="1:6" s="26" customFormat="1" x14ac:dyDescent="0.2">
      <c r="A31" s="14"/>
      <c r="B31" s="14"/>
      <c r="C31" s="14"/>
      <c r="F31" s="35"/>
    </row>
    <row r="33" spans="1:3" x14ac:dyDescent="0.2">
      <c r="A33" s="26"/>
      <c r="B33" s="26"/>
      <c r="C33" s="26"/>
    </row>
    <row r="34" spans="1:3" s="26" customFormat="1" x14ac:dyDescent="0.2">
      <c r="B34" s="51"/>
    </row>
    <row r="35" spans="1:3" s="26" customFormat="1" x14ac:dyDescent="0.2"/>
    <row r="36" spans="1:3" x14ac:dyDescent="0.2">
      <c r="A36" s="26"/>
      <c r="B36" s="52"/>
      <c r="C36" s="26"/>
    </row>
    <row r="37" spans="1:3" x14ac:dyDescent="0.2">
      <c r="A37" s="26"/>
      <c r="B37" s="26"/>
      <c r="C37" s="26"/>
    </row>
    <row r="38" spans="1:3" x14ac:dyDescent="0.2">
      <c r="A38" s="26"/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L44"/>
  <sheetViews>
    <sheetView workbookViewId="0">
      <selection activeCell="C14" sqref="C14:C36"/>
    </sheetView>
  </sheetViews>
  <sheetFormatPr baseColWidth="10" defaultColWidth="8.83203125" defaultRowHeight="15" x14ac:dyDescent="0.2"/>
  <cols>
    <col min="1" max="1" width="40.5" bestFit="1" customWidth="1"/>
    <col min="3" max="3" width="22.6640625" bestFit="1" customWidth="1"/>
    <col min="4" max="4" width="9.33203125" bestFit="1" customWidth="1"/>
    <col min="5" max="5" width="21.1640625" bestFit="1" customWidth="1"/>
    <col min="6" max="6" width="17.5" bestFit="1" customWidth="1"/>
    <col min="12" max="12" width="30.83203125" bestFit="1" customWidth="1"/>
    <col min="14" max="14" width="19.33203125" bestFit="1" customWidth="1"/>
    <col min="16" max="16" width="20.5" bestFit="1" customWidth="1"/>
  </cols>
  <sheetData>
    <row r="1" spans="1:6" ht="21" x14ac:dyDescent="0.25">
      <c r="A1" s="1" t="s">
        <v>197</v>
      </c>
    </row>
    <row r="2" spans="1:6" x14ac:dyDescent="0.2">
      <c r="C2" s="144"/>
      <c r="D2" s="144"/>
    </row>
    <row r="3" spans="1:6" x14ac:dyDescent="0.2">
      <c r="A3" s="17" t="s">
        <v>106</v>
      </c>
      <c r="B3" s="4"/>
      <c r="C3" s="5"/>
      <c r="D3" s="18" t="s">
        <v>24</v>
      </c>
      <c r="E3" s="4"/>
      <c r="F3" s="6" t="s">
        <v>23</v>
      </c>
    </row>
    <row r="4" spans="1:6" s="26" customFormat="1" x14ac:dyDescent="0.2">
      <c r="A4" s="25" t="s">
        <v>198</v>
      </c>
      <c r="B4" s="25"/>
      <c r="C4" s="33"/>
      <c r="D4" s="33">
        <v>1776.45</v>
      </c>
      <c r="E4" s="33"/>
      <c r="F4" s="33">
        <v>600</v>
      </c>
    </row>
    <row r="5" spans="1:6" s="26" customFormat="1" x14ac:dyDescent="0.2">
      <c r="A5" s="25" t="s">
        <v>199</v>
      </c>
      <c r="B5" s="25"/>
      <c r="C5" s="47"/>
      <c r="D5" s="33">
        <v>1709.44</v>
      </c>
      <c r="E5" s="25"/>
      <c r="F5" s="33">
        <v>600</v>
      </c>
    </row>
    <row r="6" spans="1:6" s="26" customFormat="1" x14ac:dyDescent="0.2">
      <c r="A6" s="25" t="s">
        <v>200</v>
      </c>
      <c r="B6" s="25"/>
      <c r="C6" s="33"/>
      <c r="D6" s="33"/>
      <c r="E6" s="33"/>
      <c r="F6" s="33"/>
    </row>
    <row r="7" spans="1:6" s="26" customFormat="1" x14ac:dyDescent="0.2">
      <c r="A7" s="25"/>
      <c r="B7" s="25"/>
      <c r="C7" s="25"/>
      <c r="D7" s="33"/>
      <c r="E7" s="25"/>
      <c r="F7" s="33"/>
    </row>
    <row r="8" spans="1:6" s="26" customFormat="1" x14ac:dyDescent="0.2">
      <c r="A8" s="25"/>
      <c r="B8" s="25"/>
      <c r="C8" s="25"/>
      <c r="D8" s="25"/>
      <c r="E8" s="25"/>
      <c r="F8" s="33"/>
    </row>
    <row r="9" spans="1:6" s="26" customFormat="1" x14ac:dyDescent="0.2">
      <c r="D9" s="42">
        <f>D4+D5+D6+D7</f>
        <v>3485.8900000000003</v>
      </c>
      <c r="F9" s="42">
        <f>F4+F5+F6+F7+F8</f>
        <v>1200</v>
      </c>
    </row>
    <row r="10" spans="1:6" s="26" customFormat="1" x14ac:dyDescent="0.2">
      <c r="A10" s="43"/>
      <c r="B10" s="43"/>
      <c r="C10" s="43"/>
    </row>
    <row r="11" spans="1:6" s="26" customFormat="1" x14ac:dyDescent="0.2">
      <c r="A11" s="43"/>
      <c r="B11" s="43"/>
      <c r="C11" s="43"/>
    </row>
    <row r="12" spans="1:6" s="26" customFormat="1" x14ac:dyDescent="0.2">
      <c r="A12" s="32" t="s">
        <v>1</v>
      </c>
      <c r="B12" s="25"/>
      <c r="C12" s="32" t="s">
        <v>2</v>
      </c>
    </row>
    <row r="13" spans="1:6" s="26" customFormat="1" x14ac:dyDescent="0.2">
      <c r="A13" s="32" t="s">
        <v>12</v>
      </c>
      <c r="B13" s="25"/>
      <c r="C13" s="32"/>
    </row>
    <row r="14" spans="1:6" s="24" customFormat="1" x14ac:dyDescent="0.2">
      <c r="A14" s="20" t="s">
        <v>60</v>
      </c>
      <c r="B14" s="20"/>
      <c r="C14" s="20">
        <v>111.54</v>
      </c>
    </row>
    <row r="15" spans="1:6" s="24" customFormat="1" x14ac:dyDescent="0.2">
      <c r="A15" s="20" t="s">
        <v>59</v>
      </c>
      <c r="B15" s="20"/>
      <c r="C15" s="21">
        <v>839.24</v>
      </c>
    </row>
    <row r="16" spans="1:6" s="24" customFormat="1" x14ac:dyDescent="0.2">
      <c r="A16" s="20" t="s">
        <v>182</v>
      </c>
      <c r="B16" s="20"/>
      <c r="C16" s="21">
        <v>126</v>
      </c>
    </row>
    <row r="17" spans="1:12" s="24" customFormat="1" x14ac:dyDescent="0.2">
      <c r="A17" s="20" t="s">
        <v>175</v>
      </c>
      <c r="B17" s="20"/>
      <c r="C17" s="21">
        <v>356.1</v>
      </c>
      <c r="H17" s="50"/>
    </row>
    <row r="18" spans="1:12" s="24" customFormat="1" x14ac:dyDescent="0.2">
      <c r="A18" s="20" t="s">
        <v>183</v>
      </c>
      <c r="B18" s="20"/>
      <c r="C18" s="21">
        <v>126</v>
      </c>
    </row>
    <row r="19" spans="1:12" s="24" customFormat="1" x14ac:dyDescent="0.2">
      <c r="A19" s="20" t="s">
        <v>171</v>
      </c>
      <c r="B19" s="20"/>
      <c r="C19" s="21">
        <v>45</v>
      </c>
    </row>
    <row r="20" spans="1:12" s="24" customFormat="1" x14ac:dyDescent="0.2">
      <c r="A20" s="20" t="s">
        <v>63</v>
      </c>
      <c r="B20" s="20"/>
      <c r="C20" s="21">
        <v>13.95</v>
      </c>
    </row>
    <row r="21" spans="1:12" s="24" customFormat="1" x14ac:dyDescent="0.2">
      <c r="A21" s="20" t="s">
        <v>202</v>
      </c>
      <c r="B21" s="20"/>
      <c r="C21" s="21">
        <v>25</v>
      </c>
    </row>
    <row r="22" spans="1:12" s="24" customFormat="1" x14ac:dyDescent="0.2">
      <c r="A22" s="20" t="s">
        <v>204</v>
      </c>
      <c r="B22" s="20"/>
      <c r="C22" s="21">
        <v>20</v>
      </c>
    </row>
    <row r="23" spans="1:12" s="24" customFormat="1" x14ac:dyDescent="0.2">
      <c r="A23" s="20" t="s">
        <v>184</v>
      </c>
      <c r="B23" s="20"/>
      <c r="C23" s="21">
        <v>126</v>
      </c>
    </row>
    <row r="24" spans="1:12" s="24" customFormat="1" x14ac:dyDescent="0.2">
      <c r="A24" s="20" t="s">
        <v>66</v>
      </c>
      <c r="B24" s="20"/>
      <c r="C24" s="21">
        <v>42</v>
      </c>
      <c r="K24" s="24">
        <v>80</v>
      </c>
      <c r="L24" s="24" t="s">
        <v>205</v>
      </c>
    </row>
    <row r="25" spans="1:12" s="26" customFormat="1" x14ac:dyDescent="0.2">
      <c r="A25" s="29"/>
      <c r="B25" s="29"/>
      <c r="C25" s="30"/>
      <c r="F25" s="24"/>
      <c r="K25" s="26">
        <v>412.81</v>
      </c>
      <c r="L25" s="26" t="s">
        <v>206</v>
      </c>
    </row>
    <row r="26" spans="1:12" s="26" customFormat="1" x14ac:dyDescent="0.2">
      <c r="A26" s="32" t="s">
        <v>13</v>
      </c>
      <c r="B26" s="25"/>
      <c r="C26" s="27"/>
      <c r="F26" s="24"/>
      <c r="K26" s="51">
        <v>1695.5</v>
      </c>
      <c r="L26" s="26" t="s">
        <v>207</v>
      </c>
    </row>
    <row r="27" spans="1:12" s="24" customFormat="1" x14ac:dyDescent="0.2">
      <c r="A27" s="20" t="s">
        <v>72</v>
      </c>
      <c r="B27" s="20"/>
      <c r="C27" s="21">
        <v>488.22</v>
      </c>
      <c r="L27" s="24" t="s">
        <v>208</v>
      </c>
    </row>
    <row r="28" spans="1:12" s="24" customFormat="1" x14ac:dyDescent="0.2">
      <c r="A28" s="20" t="s">
        <v>79</v>
      </c>
      <c r="B28" s="20"/>
      <c r="C28" s="21">
        <v>138.63999999999999</v>
      </c>
      <c r="L28" s="24" t="s">
        <v>171</v>
      </c>
    </row>
    <row r="29" spans="1:12" s="24" customFormat="1" x14ac:dyDescent="0.2">
      <c r="A29" s="20" t="s">
        <v>73</v>
      </c>
      <c r="B29" s="20"/>
      <c r="C29" s="21">
        <v>311.55</v>
      </c>
      <c r="L29" s="24" t="s">
        <v>209</v>
      </c>
    </row>
    <row r="30" spans="1:12" s="24" customFormat="1" x14ac:dyDescent="0.2">
      <c r="A30" s="20" t="s">
        <v>189</v>
      </c>
      <c r="B30" s="20"/>
      <c r="C30" s="21">
        <v>25</v>
      </c>
    </row>
    <row r="31" spans="1:12" s="24" customFormat="1" x14ac:dyDescent="0.2">
      <c r="A31" s="20" t="s">
        <v>76</v>
      </c>
      <c r="B31" s="20"/>
      <c r="C31" s="21">
        <v>14.99</v>
      </c>
    </row>
    <row r="32" spans="1:12" s="24" customFormat="1" x14ac:dyDescent="0.2">
      <c r="A32" s="20" t="s">
        <v>191</v>
      </c>
      <c r="B32" s="20"/>
      <c r="C32" s="21">
        <v>25</v>
      </c>
    </row>
    <row r="33" spans="1:6" s="24" customFormat="1" x14ac:dyDescent="0.2">
      <c r="A33" s="20" t="s">
        <v>185</v>
      </c>
      <c r="B33" s="20"/>
      <c r="C33" s="21">
        <v>126</v>
      </c>
    </row>
    <row r="34" spans="1:6" s="24" customFormat="1" x14ac:dyDescent="0.2">
      <c r="A34" s="20" t="s">
        <v>75</v>
      </c>
      <c r="B34" s="20"/>
      <c r="C34" s="21">
        <v>256.22000000000003</v>
      </c>
    </row>
    <row r="35" spans="1:6" s="24" customFormat="1" x14ac:dyDescent="0.2">
      <c r="A35" s="20" t="s">
        <v>201</v>
      </c>
      <c r="B35" s="20"/>
      <c r="C35" s="21">
        <v>216.66</v>
      </c>
    </row>
    <row r="36" spans="1:6" s="24" customFormat="1" x14ac:dyDescent="0.2">
      <c r="A36" s="20" t="s">
        <v>78</v>
      </c>
      <c r="B36" s="20"/>
      <c r="C36" s="21">
        <v>132.19999999999999</v>
      </c>
    </row>
    <row r="37" spans="1:6" s="26" customFormat="1" x14ac:dyDescent="0.2">
      <c r="A37" s="14"/>
      <c r="B37" s="14"/>
      <c r="C37" s="14"/>
      <c r="F37" s="35"/>
    </row>
    <row r="40" spans="1:6" s="26" customFormat="1" x14ac:dyDescent="0.2">
      <c r="B40" s="44"/>
      <c r="C40" s="46"/>
    </row>
    <row r="41" spans="1:6" s="26" customFormat="1" x14ac:dyDescent="0.2">
      <c r="B41" s="44"/>
      <c r="C41" s="46"/>
    </row>
    <row r="42" spans="1:6" x14ac:dyDescent="0.2">
      <c r="A42" s="26"/>
      <c r="B42" s="44"/>
      <c r="C42" s="46"/>
    </row>
    <row r="43" spans="1:6" x14ac:dyDescent="0.2">
      <c r="A43" s="26"/>
    </row>
    <row r="44" spans="1:6" x14ac:dyDescent="0.2">
      <c r="A44" s="26"/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43"/>
  <sheetViews>
    <sheetView topLeftCell="A7" workbookViewId="0">
      <selection activeCell="A35" sqref="A35:XFD35"/>
    </sheetView>
  </sheetViews>
  <sheetFormatPr baseColWidth="10" defaultColWidth="8.83203125" defaultRowHeight="15" x14ac:dyDescent="0.2"/>
  <cols>
    <col min="1" max="1" width="40.5" bestFit="1" customWidth="1"/>
    <col min="3" max="3" width="22.6640625" bestFit="1" customWidth="1"/>
    <col min="4" max="4" width="9.33203125" bestFit="1" customWidth="1"/>
    <col min="5" max="5" width="21.1640625" bestFit="1" customWidth="1"/>
    <col min="6" max="6" width="17.5" bestFit="1" customWidth="1"/>
    <col min="12" max="12" width="30.83203125" bestFit="1" customWidth="1"/>
    <col min="14" max="14" width="19.33203125" bestFit="1" customWidth="1"/>
    <col min="16" max="16" width="20.5" bestFit="1" customWidth="1"/>
  </cols>
  <sheetData>
    <row r="1" spans="1:6" ht="21" x14ac:dyDescent="0.25">
      <c r="A1" s="1" t="s">
        <v>192</v>
      </c>
    </row>
    <row r="2" spans="1:6" x14ac:dyDescent="0.2">
      <c r="C2" s="144"/>
      <c r="D2" s="144"/>
    </row>
    <row r="3" spans="1:6" x14ac:dyDescent="0.2">
      <c r="A3" s="17" t="s">
        <v>98</v>
      </c>
      <c r="B3" s="4"/>
      <c r="C3" s="5"/>
      <c r="D3" s="18" t="s">
        <v>24</v>
      </c>
      <c r="E3" s="4"/>
      <c r="F3" s="6" t="s">
        <v>23</v>
      </c>
    </row>
    <row r="4" spans="1:6" s="24" customFormat="1" x14ac:dyDescent="0.2">
      <c r="A4" s="20" t="s">
        <v>193</v>
      </c>
      <c r="B4" s="20"/>
      <c r="C4" s="22"/>
      <c r="D4" s="22">
        <v>1880.94</v>
      </c>
      <c r="E4" s="22"/>
      <c r="F4" s="22">
        <v>600</v>
      </c>
    </row>
    <row r="5" spans="1:6" s="26" customFormat="1" x14ac:dyDescent="0.2">
      <c r="A5" s="25" t="s">
        <v>194</v>
      </c>
      <c r="B5" s="25"/>
      <c r="C5" s="47"/>
      <c r="D5" s="33">
        <v>1721.61</v>
      </c>
      <c r="E5" s="25"/>
      <c r="F5" s="33">
        <v>600</v>
      </c>
    </row>
    <row r="6" spans="1:6" s="26" customFormat="1" x14ac:dyDescent="0.2">
      <c r="A6" s="25" t="s">
        <v>195</v>
      </c>
      <c r="B6" s="25"/>
      <c r="C6" s="33"/>
      <c r="D6" s="33"/>
      <c r="E6" s="33"/>
      <c r="F6" s="33"/>
    </row>
    <row r="7" spans="1:6" s="26" customFormat="1" x14ac:dyDescent="0.2">
      <c r="A7" s="25"/>
      <c r="B7" s="25"/>
      <c r="C7" s="25"/>
      <c r="D7" s="33"/>
      <c r="E7" s="25"/>
      <c r="F7" s="33"/>
    </row>
    <row r="8" spans="1:6" s="26" customFormat="1" x14ac:dyDescent="0.2">
      <c r="A8" s="25"/>
      <c r="B8" s="25"/>
      <c r="C8" s="25"/>
      <c r="D8" s="25"/>
      <c r="E8" s="25"/>
      <c r="F8" s="33"/>
    </row>
    <row r="9" spans="1:6" s="26" customFormat="1" x14ac:dyDescent="0.2">
      <c r="D9" s="42">
        <f>D4+D5+D6+D7</f>
        <v>3602.55</v>
      </c>
      <c r="F9" s="42">
        <f>F4+F5+F6+F7+F8</f>
        <v>1200</v>
      </c>
    </row>
    <row r="10" spans="1:6" s="26" customFormat="1" x14ac:dyDescent="0.2">
      <c r="A10" s="43"/>
      <c r="B10" s="43"/>
      <c r="C10" s="43"/>
    </row>
    <row r="11" spans="1:6" s="26" customFormat="1" x14ac:dyDescent="0.2">
      <c r="A11" s="43"/>
      <c r="B11" s="43"/>
      <c r="C11" s="43"/>
    </row>
    <row r="12" spans="1:6" s="26" customFormat="1" x14ac:dyDescent="0.2">
      <c r="A12" s="32" t="s">
        <v>1</v>
      </c>
      <c r="B12" s="25"/>
      <c r="C12" s="32" t="s">
        <v>2</v>
      </c>
    </row>
    <row r="13" spans="1:6" s="26" customFormat="1" x14ac:dyDescent="0.2">
      <c r="A13" s="32" t="s">
        <v>12</v>
      </c>
      <c r="B13" s="25"/>
      <c r="C13" s="32"/>
    </row>
    <row r="14" spans="1:6" s="24" customFormat="1" x14ac:dyDescent="0.2">
      <c r="A14" s="20" t="s">
        <v>60</v>
      </c>
      <c r="B14" s="20"/>
      <c r="C14" s="20">
        <v>117.96</v>
      </c>
    </row>
    <row r="15" spans="1:6" s="24" customFormat="1" x14ac:dyDescent="0.2">
      <c r="A15" s="20" t="s">
        <v>59</v>
      </c>
      <c r="B15" s="20"/>
      <c r="C15" s="21">
        <v>839.24</v>
      </c>
      <c r="F15" s="34"/>
    </row>
    <row r="16" spans="1:6" s="24" customFormat="1" x14ac:dyDescent="0.2">
      <c r="A16" s="20" t="s">
        <v>182</v>
      </c>
      <c r="B16" s="20"/>
      <c r="C16" s="21">
        <v>126</v>
      </c>
      <c r="F16" s="34"/>
    </row>
    <row r="17" spans="1:8" s="24" customFormat="1" x14ac:dyDescent="0.2">
      <c r="A17" s="20" t="s">
        <v>196</v>
      </c>
      <c r="B17" s="20"/>
      <c r="C17" s="21">
        <v>45</v>
      </c>
      <c r="F17" s="34"/>
    </row>
    <row r="18" spans="1:8" s="24" customFormat="1" x14ac:dyDescent="0.2">
      <c r="A18" s="20" t="s">
        <v>175</v>
      </c>
      <c r="B18" s="20"/>
      <c r="C18" s="21">
        <v>356.1</v>
      </c>
      <c r="F18" s="34"/>
      <c r="H18" s="50"/>
    </row>
    <row r="19" spans="1:8" s="24" customFormat="1" x14ac:dyDescent="0.2">
      <c r="A19" s="20" t="s">
        <v>183</v>
      </c>
      <c r="B19" s="20"/>
      <c r="C19" s="21">
        <v>126</v>
      </c>
      <c r="F19" s="34"/>
    </row>
    <row r="20" spans="1:8" s="24" customFormat="1" x14ac:dyDescent="0.2">
      <c r="A20" s="20" t="s">
        <v>171</v>
      </c>
      <c r="B20" s="20"/>
      <c r="C20" s="21">
        <v>45</v>
      </c>
      <c r="F20" s="34"/>
    </row>
    <row r="21" spans="1:8" s="24" customFormat="1" x14ac:dyDescent="0.2">
      <c r="A21" s="20" t="s">
        <v>63</v>
      </c>
      <c r="B21" s="20"/>
      <c r="C21" s="21">
        <v>13.95</v>
      </c>
    </row>
    <row r="22" spans="1:8" s="24" customFormat="1" x14ac:dyDescent="0.2">
      <c r="A22" s="20" t="s">
        <v>184</v>
      </c>
      <c r="B22" s="20"/>
      <c r="C22" s="21">
        <v>126</v>
      </c>
      <c r="F22" s="34"/>
    </row>
    <row r="23" spans="1:8" s="24" customFormat="1" x14ac:dyDescent="0.2">
      <c r="A23" s="20" t="s">
        <v>66</v>
      </c>
      <c r="B23" s="20"/>
      <c r="C23" s="21">
        <v>23</v>
      </c>
    </row>
    <row r="24" spans="1:8" s="26" customFormat="1" x14ac:dyDescent="0.2">
      <c r="A24" s="29"/>
      <c r="B24" s="29"/>
      <c r="C24" s="30"/>
    </row>
    <row r="25" spans="1:8" s="26" customFormat="1" x14ac:dyDescent="0.2">
      <c r="A25" s="32" t="s">
        <v>13</v>
      </c>
      <c r="B25" s="25"/>
      <c r="C25" s="27"/>
    </row>
    <row r="26" spans="1:8" s="24" customFormat="1" x14ac:dyDescent="0.2">
      <c r="A26" s="20" t="s">
        <v>72</v>
      </c>
      <c r="B26" s="20"/>
      <c r="C26" s="21">
        <v>488.22</v>
      </c>
    </row>
    <row r="27" spans="1:8" s="24" customFormat="1" x14ac:dyDescent="0.2">
      <c r="A27" s="20" t="s">
        <v>79</v>
      </c>
      <c r="B27" s="20"/>
      <c r="C27" s="21">
        <v>138.63999999999999</v>
      </c>
      <c r="F27" s="34"/>
    </row>
    <row r="28" spans="1:8" s="24" customFormat="1" x14ac:dyDescent="0.2">
      <c r="A28" s="20" t="s">
        <v>73</v>
      </c>
      <c r="B28" s="20"/>
      <c r="C28" s="21">
        <v>311.55</v>
      </c>
      <c r="F28" s="34"/>
    </row>
    <row r="29" spans="1:8" s="24" customFormat="1" x14ac:dyDescent="0.2">
      <c r="A29" s="20" t="s">
        <v>189</v>
      </c>
      <c r="B29" s="20"/>
      <c r="C29" s="21">
        <v>25</v>
      </c>
      <c r="F29" s="34"/>
    </row>
    <row r="30" spans="1:8" s="24" customFormat="1" x14ac:dyDescent="0.2">
      <c r="A30" s="20" t="s">
        <v>76</v>
      </c>
      <c r="B30" s="20"/>
      <c r="C30" s="21">
        <v>14.99</v>
      </c>
    </row>
    <row r="31" spans="1:8" s="24" customFormat="1" x14ac:dyDescent="0.2">
      <c r="A31" s="20" t="s">
        <v>191</v>
      </c>
      <c r="B31" s="20"/>
      <c r="C31" s="21">
        <v>25</v>
      </c>
    </row>
    <row r="32" spans="1:8" s="24" customFormat="1" x14ac:dyDescent="0.2">
      <c r="A32" s="20" t="s">
        <v>185</v>
      </c>
      <c r="B32" s="20"/>
      <c r="C32" s="21">
        <v>126</v>
      </c>
      <c r="F32" s="34"/>
    </row>
    <row r="33" spans="1:6" s="24" customFormat="1" x14ac:dyDescent="0.2">
      <c r="A33" s="20" t="s">
        <v>75</v>
      </c>
      <c r="B33" s="20"/>
      <c r="C33" s="21">
        <v>256.22000000000003</v>
      </c>
      <c r="F33" s="34"/>
    </row>
    <row r="34" spans="1:6" s="24" customFormat="1" x14ac:dyDescent="0.2">
      <c r="A34" s="20" t="s">
        <v>77</v>
      </c>
      <c r="B34" s="20"/>
      <c r="C34" s="21">
        <v>207</v>
      </c>
    </row>
    <row r="35" spans="1:6" s="24" customFormat="1" x14ac:dyDescent="0.2">
      <c r="A35" s="20" t="s">
        <v>78</v>
      </c>
      <c r="B35" s="20"/>
      <c r="C35" s="21">
        <v>132.16</v>
      </c>
    </row>
    <row r="36" spans="1:6" s="26" customFormat="1" x14ac:dyDescent="0.2">
      <c r="A36" s="14"/>
      <c r="B36" s="14"/>
      <c r="C36" s="14"/>
      <c r="F36" s="35"/>
    </row>
    <row r="39" spans="1:6" s="26" customFormat="1" x14ac:dyDescent="0.2">
      <c r="B39" s="44"/>
      <c r="C39" s="46"/>
    </row>
    <row r="40" spans="1:6" s="26" customFormat="1" x14ac:dyDescent="0.2">
      <c r="B40" s="44"/>
      <c r="C40" s="46"/>
    </row>
    <row r="41" spans="1:6" x14ac:dyDescent="0.2">
      <c r="A41" s="26"/>
      <c r="B41" s="44"/>
      <c r="C41" s="46"/>
    </row>
    <row r="42" spans="1:6" x14ac:dyDescent="0.2">
      <c r="A42" s="26"/>
    </row>
    <row r="43" spans="1:6" x14ac:dyDescent="0.2">
      <c r="A43" s="26"/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42"/>
  <sheetViews>
    <sheetView workbookViewId="0">
      <selection activeCell="C34" activeCellId="15" sqref="C14 C15 C16 C17 C18 C20 C21 C22 C25 C26 C27 C29 C31 C32 C33 C34"/>
    </sheetView>
  </sheetViews>
  <sheetFormatPr baseColWidth="10" defaultColWidth="8.83203125" defaultRowHeight="15" x14ac:dyDescent="0.2"/>
  <cols>
    <col min="1" max="1" width="40.5" bestFit="1" customWidth="1"/>
    <col min="3" max="3" width="22.6640625" bestFit="1" customWidth="1"/>
    <col min="4" max="4" width="9.33203125" bestFit="1" customWidth="1"/>
    <col min="5" max="5" width="21.1640625" bestFit="1" customWidth="1"/>
    <col min="6" max="6" width="17.5" bestFit="1" customWidth="1"/>
    <col min="12" max="12" width="30.83203125" bestFit="1" customWidth="1"/>
    <col min="14" max="14" width="19.33203125" bestFit="1" customWidth="1"/>
    <col min="16" max="16" width="20.5" bestFit="1" customWidth="1"/>
  </cols>
  <sheetData>
    <row r="1" spans="1:6" ht="21" x14ac:dyDescent="0.25">
      <c r="A1" s="1" t="s">
        <v>186</v>
      </c>
    </row>
    <row r="2" spans="1:6" x14ac:dyDescent="0.2">
      <c r="C2" s="144"/>
      <c r="D2" s="144"/>
    </row>
    <row r="3" spans="1:6" x14ac:dyDescent="0.2">
      <c r="A3" s="17" t="s">
        <v>90</v>
      </c>
      <c r="B3" s="4"/>
      <c r="C3" s="5"/>
      <c r="D3" s="18" t="s">
        <v>24</v>
      </c>
      <c r="E3" s="4"/>
      <c r="F3" s="6" t="s">
        <v>23</v>
      </c>
    </row>
    <row r="4" spans="1:6" s="24" customFormat="1" x14ac:dyDescent="0.2">
      <c r="A4" s="20" t="s">
        <v>187</v>
      </c>
      <c r="B4" s="20"/>
      <c r="C4" s="22"/>
      <c r="D4" s="22">
        <v>1789.25</v>
      </c>
      <c r="E4" s="22"/>
      <c r="F4" s="22">
        <v>600</v>
      </c>
    </row>
    <row r="5" spans="1:6" s="24" customFormat="1" x14ac:dyDescent="0.2">
      <c r="A5" s="20" t="s">
        <v>188</v>
      </c>
      <c r="B5" s="20"/>
      <c r="C5" s="23"/>
      <c r="D5" s="22">
        <v>1721.61</v>
      </c>
      <c r="E5" s="20"/>
      <c r="F5" s="22">
        <v>600</v>
      </c>
    </row>
    <row r="6" spans="1:6" s="26" customFormat="1" x14ac:dyDescent="0.2">
      <c r="A6" s="25"/>
      <c r="B6" s="25"/>
      <c r="C6" s="33"/>
      <c r="D6" s="33"/>
      <c r="E6" s="33"/>
      <c r="F6" s="33"/>
    </row>
    <row r="7" spans="1:6" s="26" customFormat="1" x14ac:dyDescent="0.2">
      <c r="A7" s="25"/>
      <c r="B7" s="25"/>
      <c r="C7" s="25"/>
      <c r="D7" s="33"/>
      <c r="E7" s="25"/>
      <c r="F7" s="33"/>
    </row>
    <row r="8" spans="1:6" s="26" customFormat="1" x14ac:dyDescent="0.2">
      <c r="A8" s="25"/>
      <c r="B8" s="25"/>
      <c r="C8" s="25"/>
      <c r="D8" s="25"/>
      <c r="E8" s="25"/>
      <c r="F8" s="33"/>
    </row>
    <row r="9" spans="1:6" s="26" customFormat="1" x14ac:dyDescent="0.2">
      <c r="D9" s="42">
        <f>D4+D5+D6+D7</f>
        <v>3510.8599999999997</v>
      </c>
      <c r="F9" s="42">
        <f>F4+F5+F6+F7+F8</f>
        <v>1200</v>
      </c>
    </row>
    <row r="10" spans="1:6" s="26" customFormat="1" x14ac:dyDescent="0.2">
      <c r="A10" s="43"/>
      <c r="B10" s="43"/>
      <c r="C10" s="43"/>
      <c r="D10" s="43"/>
      <c r="E10" s="43"/>
    </row>
    <row r="11" spans="1:6" s="26" customFormat="1" x14ac:dyDescent="0.2">
      <c r="A11" s="43"/>
      <c r="B11" s="43"/>
      <c r="C11" s="43"/>
      <c r="D11" s="43"/>
      <c r="E11" s="43"/>
    </row>
    <row r="12" spans="1:6" s="26" customFormat="1" x14ac:dyDescent="0.2">
      <c r="A12" s="32" t="s">
        <v>1</v>
      </c>
      <c r="B12" s="25"/>
      <c r="C12" s="32" t="s">
        <v>2</v>
      </c>
      <c r="D12" s="25"/>
      <c r="E12" s="32" t="s">
        <v>3</v>
      </c>
    </row>
    <row r="13" spans="1:6" s="26" customFormat="1" x14ac:dyDescent="0.2">
      <c r="A13" s="32" t="s">
        <v>12</v>
      </c>
      <c r="B13" s="25"/>
      <c r="C13" s="32"/>
      <c r="D13" s="25"/>
      <c r="E13" s="32"/>
    </row>
    <row r="14" spans="1:6" s="24" customFormat="1" x14ac:dyDescent="0.2">
      <c r="A14" s="20" t="s">
        <v>60</v>
      </c>
      <c r="B14" s="20"/>
      <c r="C14" s="20">
        <v>117.96</v>
      </c>
      <c r="D14" s="20"/>
      <c r="E14" s="20">
        <v>117</v>
      </c>
    </row>
    <row r="15" spans="1:6" s="24" customFormat="1" x14ac:dyDescent="0.2">
      <c r="A15" s="20" t="s">
        <v>59</v>
      </c>
      <c r="B15" s="20"/>
      <c r="C15" s="21">
        <v>839.24</v>
      </c>
      <c r="D15" s="20"/>
      <c r="E15" s="21">
        <v>839.24</v>
      </c>
      <c r="F15" s="34"/>
    </row>
    <row r="16" spans="1:6" s="24" customFormat="1" x14ac:dyDescent="0.2">
      <c r="A16" s="20" t="s">
        <v>182</v>
      </c>
      <c r="B16" s="20"/>
      <c r="C16" s="21">
        <v>126</v>
      </c>
      <c r="D16" s="20"/>
      <c r="E16" s="21">
        <v>126</v>
      </c>
      <c r="F16" s="34"/>
    </row>
    <row r="17" spans="1:8" s="24" customFormat="1" x14ac:dyDescent="0.2">
      <c r="A17" s="20" t="s">
        <v>175</v>
      </c>
      <c r="B17" s="20"/>
      <c r="C17" s="21">
        <v>356.1</v>
      </c>
      <c r="D17" s="20"/>
      <c r="E17" s="21">
        <v>356.1</v>
      </c>
      <c r="F17" s="34"/>
      <c r="H17" s="50"/>
    </row>
    <row r="18" spans="1:8" s="24" customFormat="1" x14ac:dyDescent="0.2">
      <c r="A18" s="20" t="s">
        <v>183</v>
      </c>
      <c r="B18" s="20"/>
      <c r="C18" s="21">
        <v>126</v>
      </c>
      <c r="D18" s="20"/>
      <c r="E18" s="21">
        <v>126</v>
      </c>
      <c r="F18" s="34"/>
    </row>
    <row r="19" spans="1:8" s="24" customFormat="1" x14ac:dyDescent="0.2">
      <c r="A19" s="20" t="s">
        <v>171</v>
      </c>
      <c r="B19" s="20"/>
      <c r="C19" s="21">
        <v>45</v>
      </c>
      <c r="D19" s="20"/>
      <c r="E19" s="21">
        <v>45</v>
      </c>
      <c r="F19" s="34"/>
    </row>
    <row r="20" spans="1:8" s="24" customFormat="1" x14ac:dyDescent="0.2">
      <c r="A20" s="20" t="s">
        <v>63</v>
      </c>
      <c r="B20" s="20"/>
      <c r="C20" s="21">
        <v>7.95</v>
      </c>
      <c r="D20" s="20"/>
      <c r="E20" s="21">
        <v>7.95</v>
      </c>
    </row>
    <row r="21" spans="1:8" s="24" customFormat="1" x14ac:dyDescent="0.2">
      <c r="A21" s="20" t="s">
        <v>184</v>
      </c>
      <c r="B21" s="20"/>
      <c r="C21" s="21">
        <v>126</v>
      </c>
      <c r="D21" s="20"/>
      <c r="E21" s="21">
        <v>126</v>
      </c>
      <c r="F21" s="34"/>
    </row>
    <row r="22" spans="1:8" s="24" customFormat="1" x14ac:dyDescent="0.2">
      <c r="A22" s="20" t="s">
        <v>66</v>
      </c>
      <c r="B22" s="20"/>
      <c r="C22" s="21">
        <v>20</v>
      </c>
      <c r="D22" s="20"/>
      <c r="E22" s="21"/>
    </row>
    <row r="23" spans="1:8" s="26" customFormat="1" x14ac:dyDescent="0.2">
      <c r="A23" s="29"/>
      <c r="B23" s="29"/>
      <c r="C23" s="30"/>
      <c r="D23" s="29"/>
      <c r="E23" s="30"/>
    </row>
    <row r="24" spans="1:8" s="26" customFormat="1" x14ac:dyDescent="0.2">
      <c r="A24" s="32" t="s">
        <v>13</v>
      </c>
      <c r="B24" s="25"/>
      <c r="C24" s="27"/>
      <c r="D24" s="25"/>
      <c r="E24" s="27"/>
    </row>
    <row r="25" spans="1:8" s="24" customFormat="1" x14ac:dyDescent="0.2">
      <c r="A25" s="20" t="s">
        <v>72</v>
      </c>
      <c r="B25" s="20"/>
      <c r="C25" s="21">
        <v>488.22</v>
      </c>
      <c r="D25" s="20"/>
      <c r="E25" s="21">
        <v>488.22</v>
      </c>
    </row>
    <row r="26" spans="1:8" s="24" customFormat="1" x14ac:dyDescent="0.2">
      <c r="A26" s="20" t="s">
        <v>79</v>
      </c>
      <c r="B26" s="20"/>
      <c r="C26" s="21">
        <v>138.63999999999999</v>
      </c>
      <c r="D26" s="20"/>
      <c r="E26" s="21">
        <v>138.63999999999999</v>
      </c>
      <c r="F26" s="34"/>
    </row>
    <row r="27" spans="1:8" s="24" customFormat="1" x14ac:dyDescent="0.2">
      <c r="A27" s="20" t="s">
        <v>73</v>
      </c>
      <c r="B27" s="20"/>
      <c r="C27" s="21">
        <v>311.55</v>
      </c>
      <c r="D27" s="20"/>
      <c r="E27" s="21">
        <v>311.55</v>
      </c>
      <c r="F27" s="34"/>
    </row>
    <row r="28" spans="1:8" s="24" customFormat="1" x14ac:dyDescent="0.2">
      <c r="A28" s="20" t="s">
        <v>189</v>
      </c>
      <c r="B28" s="20"/>
      <c r="C28" s="21">
        <v>25</v>
      </c>
      <c r="D28" s="20"/>
      <c r="E28" s="21">
        <v>25</v>
      </c>
      <c r="F28" s="34"/>
    </row>
    <row r="29" spans="1:8" s="24" customFormat="1" x14ac:dyDescent="0.2">
      <c r="A29" s="20" t="s">
        <v>76</v>
      </c>
      <c r="B29" s="20"/>
      <c r="C29" s="21">
        <v>14.99</v>
      </c>
      <c r="D29" s="20"/>
      <c r="E29" s="21">
        <v>14.99</v>
      </c>
    </row>
    <row r="30" spans="1:8" s="24" customFormat="1" x14ac:dyDescent="0.2">
      <c r="A30" s="20" t="s">
        <v>191</v>
      </c>
      <c r="B30" s="20"/>
      <c r="C30" s="21">
        <v>25</v>
      </c>
      <c r="D30" s="20"/>
      <c r="E30" s="21">
        <v>25</v>
      </c>
    </row>
    <row r="31" spans="1:8" s="24" customFormat="1" x14ac:dyDescent="0.2">
      <c r="A31" s="20" t="s">
        <v>185</v>
      </c>
      <c r="B31" s="20"/>
      <c r="C31" s="21">
        <v>126</v>
      </c>
      <c r="D31" s="20"/>
      <c r="E31" s="21">
        <v>126</v>
      </c>
      <c r="F31" s="34"/>
    </row>
    <row r="32" spans="1:8" s="24" customFormat="1" x14ac:dyDescent="0.2">
      <c r="A32" s="20" t="s">
        <v>75</v>
      </c>
      <c r="B32" s="20"/>
      <c r="C32" s="21">
        <v>256.22000000000003</v>
      </c>
      <c r="D32" s="20"/>
      <c r="E32" s="21">
        <v>256.22000000000003</v>
      </c>
      <c r="F32" s="34"/>
    </row>
    <row r="33" spans="1:6" s="24" customFormat="1" x14ac:dyDescent="0.2">
      <c r="A33" s="20" t="s">
        <v>77</v>
      </c>
      <c r="B33" s="20"/>
      <c r="C33" s="21">
        <v>228.83</v>
      </c>
      <c r="D33" s="20"/>
      <c r="E33" s="21">
        <v>228.83</v>
      </c>
    </row>
    <row r="34" spans="1:6" s="24" customFormat="1" x14ac:dyDescent="0.2">
      <c r="A34" s="20" t="s">
        <v>78</v>
      </c>
      <c r="B34" s="20"/>
      <c r="C34" s="21">
        <v>132.16</v>
      </c>
      <c r="D34" s="20"/>
      <c r="E34" s="21">
        <v>132.16</v>
      </c>
    </row>
    <row r="35" spans="1:6" s="26" customFormat="1" x14ac:dyDescent="0.2">
      <c r="A35" s="14"/>
      <c r="B35" s="14"/>
      <c r="C35" s="14"/>
      <c r="D35" s="14"/>
      <c r="E35" s="14"/>
      <c r="F35" s="35"/>
    </row>
    <row r="38" spans="1:6" s="26" customFormat="1" x14ac:dyDescent="0.2">
      <c r="A38" s="26" t="s">
        <v>190</v>
      </c>
      <c r="B38" s="44">
        <v>72450.350000000006</v>
      </c>
      <c r="C38" s="46"/>
    </row>
    <row r="39" spans="1:6" s="26" customFormat="1" x14ac:dyDescent="0.2">
      <c r="B39" s="44"/>
      <c r="C39" s="46"/>
    </row>
    <row r="40" spans="1:6" x14ac:dyDescent="0.2">
      <c r="A40" s="26">
        <v>41286.39</v>
      </c>
      <c r="B40" s="44"/>
      <c r="C40" s="46"/>
    </row>
    <row r="41" spans="1:6" x14ac:dyDescent="0.2">
      <c r="A41" s="26">
        <v>18571.900000000001</v>
      </c>
    </row>
    <row r="42" spans="1:6" x14ac:dyDescent="0.2">
      <c r="A42" s="26">
        <v>12592.06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N38"/>
  <sheetViews>
    <sheetView topLeftCell="A10" workbookViewId="0">
      <selection activeCell="A32" sqref="A32:XFD32"/>
    </sheetView>
  </sheetViews>
  <sheetFormatPr baseColWidth="10" defaultColWidth="8.83203125" defaultRowHeight="15" x14ac:dyDescent="0.2"/>
  <cols>
    <col min="1" max="1" width="40.5" bestFit="1" customWidth="1"/>
    <col min="3" max="3" width="22.6640625" bestFit="1" customWidth="1"/>
    <col min="4" max="4" width="9.33203125" bestFit="1" customWidth="1"/>
    <col min="5" max="5" width="21.1640625" bestFit="1" customWidth="1"/>
    <col min="6" max="6" width="17.5" bestFit="1" customWidth="1"/>
    <col min="12" max="12" width="30.83203125" bestFit="1" customWidth="1"/>
    <col min="14" max="14" width="19.33203125" bestFit="1" customWidth="1"/>
    <col min="16" max="16" width="20.5" bestFit="1" customWidth="1"/>
  </cols>
  <sheetData>
    <row r="1" spans="1:14" ht="21" x14ac:dyDescent="0.25">
      <c r="A1" s="1" t="s">
        <v>179</v>
      </c>
    </row>
    <row r="2" spans="1:14" x14ac:dyDescent="0.2">
      <c r="C2" s="144"/>
      <c r="D2" s="144"/>
    </row>
    <row r="3" spans="1:14" x14ac:dyDescent="0.2">
      <c r="A3" s="17" t="s">
        <v>81</v>
      </c>
      <c r="B3" s="4"/>
      <c r="C3" s="5"/>
      <c r="D3" s="18" t="s">
        <v>24</v>
      </c>
      <c r="E3" s="4"/>
      <c r="F3" s="6" t="s">
        <v>23</v>
      </c>
    </row>
    <row r="4" spans="1:14" s="24" customFormat="1" x14ac:dyDescent="0.2">
      <c r="A4" s="20" t="s">
        <v>180</v>
      </c>
      <c r="B4" s="20"/>
      <c r="C4" s="22"/>
      <c r="D4" s="22">
        <v>1762.08</v>
      </c>
      <c r="E4" s="22"/>
      <c r="F4" s="22">
        <v>600</v>
      </c>
    </row>
    <row r="5" spans="1:14" s="24" customFormat="1" x14ac:dyDescent="0.2">
      <c r="A5" s="20" t="s">
        <v>181</v>
      </c>
      <c r="B5" s="20"/>
      <c r="C5" s="23"/>
      <c r="D5" s="22">
        <v>1752.79</v>
      </c>
      <c r="E5" s="20"/>
      <c r="F5" s="22">
        <v>600</v>
      </c>
    </row>
    <row r="6" spans="1:14" s="26" customFormat="1" x14ac:dyDescent="0.2">
      <c r="A6" s="25"/>
      <c r="B6" s="25"/>
      <c r="C6" s="33"/>
      <c r="D6" s="33"/>
      <c r="E6" s="33"/>
      <c r="F6" s="33"/>
    </row>
    <row r="7" spans="1:14" s="26" customFormat="1" x14ac:dyDescent="0.2">
      <c r="A7" s="25"/>
      <c r="B7" s="25"/>
      <c r="C7" s="25"/>
      <c r="D7" s="33"/>
      <c r="E7" s="25"/>
      <c r="F7" s="33"/>
    </row>
    <row r="8" spans="1:14" s="26" customFormat="1" x14ac:dyDescent="0.2">
      <c r="A8" s="25"/>
      <c r="B8" s="25"/>
      <c r="C8" s="25"/>
      <c r="D8" s="25"/>
      <c r="E8" s="25"/>
      <c r="F8" s="33"/>
    </row>
    <row r="9" spans="1:14" s="26" customFormat="1" x14ac:dyDescent="0.2">
      <c r="D9" s="42">
        <f>D4+D5+D6+D7</f>
        <v>3514.87</v>
      </c>
      <c r="F9" s="42">
        <f>F4+F5+F6+F7+F8</f>
        <v>1200</v>
      </c>
    </row>
    <row r="10" spans="1:14" s="26" customFormat="1" x14ac:dyDescent="0.2">
      <c r="A10" s="43"/>
      <c r="B10" s="43"/>
      <c r="C10" s="43"/>
      <c r="D10" s="43"/>
      <c r="E10" s="43"/>
    </row>
    <row r="11" spans="1:14" s="26" customFormat="1" x14ac:dyDescent="0.2">
      <c r="A11" s="43"/>
      <c r="B11" s="43"/>
      <c r="C11" s="43"/>
      <c r="D11" s="43"/>
      <c r="E11" s="43"/>
    </row>
    <row r="12" spans="1:14" s="26" customFormat="1" x14ac:dyDescent="0.2">
      <c r="A12" s="32" t="s">
        <v>1</v>
      </c>
      <c r="B12" s="25"/>
      <c r="C12" s="32" t="s">
        <v>2</v>
      </c>
      <c r="D12" s="25"/>
      <c r="E12" s="32" t="s">
        <v>3</v>
      </c>
    </row>
    <row r="13" spans="1:14" s="26" customFormat="1" x14ac:dyDescent="0.2">
      <c r="A13" s="32" t="s">
        <v>12</v>
      </c>
      <c r="B13" s="25"/>
      <c r="C13" s="32"/>
      <c r="D13" s="25"/>
      <c r="E13" s="32"/>
    </row>
    <row r="14" spans="1:14" s="49" customFormat="1" x14ac:dyDescent="0.2">
      <c r="A14" s="48" t="s">
        <v>60</v>
      </c>
      <c r="B14" s="48"/>
      <c r="C14" s="48">
        <v>117.96</v>
      </c>
      <c r="D14" s="48"/>
      <c r="E14" s="48">
        <v>117</v>
      </c>
      <c r="L14" s="26"/>
      <c r="M14" s="26"/>
      <c r="N14" s="26"/>
    </row>
    <row r="15" spans="1:14" s="24" customFormat="1" x14ac:dyDescent="0.2">
      <c r="A15" s="20" t="s">
        <v>59</v>
      </c>
      <c r="B15" s="20"/>
      <c r="C15" s="21">
        <v>839.24</v>
      </c>
      <c r="D15" s="20"/>
      <c r="E15" s="21">
        <v>839.24</v>
      </c>
      <c r="F15" s="34"/>
    </row>
    <row r="16" spans="1:14" s="24" customFormat="1" x14ac:dyDescent="0.2">
      <c r="A16" s="20" t="s">
        <v>182</v>
      </c>
      <c r="B16" s="20"/>
      <c r="C16" s="21">
        <v>126</v>
      </c>
      <c r="D16" s="20"/>
      <c r="E16" s="21">
        <v>126</v>
      </c>
      <c r="F16" s="34"/>
    </row>
    <row r="17" spans="1:14" s="24" customFormat="1" x14ac:dyDescent="0.2">
      <c r="A17" s="20" t="s">
        <v>175</v>
      </c>
      <c r="B17" s="20"/>
      <c r="C17" s="21">
        <v>152.83000000000001</v>
      </c>
      <c r="D17" s="20"/>
      <c r="E17" s="21">
        <v>356.1</v>
      </c>
      <c r="F17" s="34"/>
      <c r="L17" s="26"/>
      <c r="M17" s="26"/>
      <c r="N17" s="26"/>
    </row>
    <row r="18" spans="1:14" s="24" customFormat="1" x14ac:dyDescent="0.2">
      <c r="A18" s="20" t="s">
        <v>183</v>
      </c>
      <c r="B18" s="20"/>
      <c r="C18" s="21">
        <v>126</v>
      </c>
      <c r="D18" s="20"/>
      <c r="E18" s="21">
        <v>126</v>
      </c>
      <c r="F18" s="34"/>
    </row>
    <row r="19" spans="1:14" s="24" customFormat="1" x14ac:dyDescent="0.2">
      <c r="A19" s="20" t="s">
        <v>171</v>
      </c>
      <c r="B19" s="20"/>
      <c r="C19" s="21">
        <v>45</v>
      </c>
      <c r="D19" s="20"/>
      <c r="E19" s="21">
        <v>45</v>
      </c>
      <c r="F19" s="34"/>
    </row>
    <row r="20" spans="1:14" s="24" customFormat="1" x14ac:dyDescent="0.2">
      <c r="A20" s="20" t="s">
        <v>63</v>
      </c>
      <c r="B20" s="20"/>
      <c r="C20" s="21">
        <v>7.95</v>
      </c>
      <c r="D20" s="20"/>
      <c r="E20" s="21">
        <v>7.95</v>
      </c>
    </row>
    <row r="21" spans="1:14" s="24" customFormat="1" x14ac:dyDescent="0.2">
      <c r="A21" s="20" t="s">
        <v>184</v>
      </c>
      <c r="B21" s="20"/>
      <c r="C21" s="21">
        <v>126</v>
      </c>
      <c r="D21" s="20"/>
      <c r="E21" s="21">
        <v>126</v>
      </c>
      <c r="F21" s="34"/>
    </row>
    <row r="22" spans="1:14" s="24" customFormat="1" x14ac:dyDescent="0.2">
      <c r="A22" s="20" t="s">
        <v>66</v>
      </c>
      <c r="B22" s="20"/>
      <c r="C22" s="21">
        <v>18.79</v>
      </c>
      <c r="D22" s="20"/>
      <c r="E22" s="21">
        <v>18.79</v>
      </c>
    </row>
    <row r="23" spans="1:14" s="26" customFormat="1" x14ac:dyDescent="0.2">
      <c r="A23" s="29"/>
      <c r="B23" s="29"/>
      <c r="C23" s="30"/>
      <c r="D23" s="29"/>
      <c r="E23" s="30"/>
    </row>
    <row r="24" spans="1:14" s="26" customFormat="1" x14ac:dyDescent="0.2">
      <c r="A24" s="32" t="s">
        <v>13</v>
      </c>
      <c r="B24" s="25"/>
      <c r="C24" s="27"/>
      <c r="D24" s="25"/>
      <c r="E24" s="27"/>
    </row>
    <row r="25" spans="1:14" s="24" customFormat="1" x14ac:dyDescent="0.2">
      <c r="A25" s="20" t="s">
        <v>72</v>
      </c>
      <c r="B25" s="20"/>
      <c r="C25" s="21">
        <v>488.22</v>
      </c>
      <c r="D25" s="20"/>
      <c r="E25" s="21">
        <v>488.22</v>
      </c>
    </row>
    <row r="26" spans="1:14" s="24" customFormat="1" x14ac:dyDescent="0.2">
      <c r="A26" s="20" t="s">
        <v>79</v>
      </c>
      <c r="B26" s="20"/>
      <c r="C26" s="21">
        <v>138.63999999999999</v>
      </c>
      <c r="D26" s="20"/>
      <c r="E26" s="21">
        <v>138.63999999999999</v>
      </c>
      <c r="F26" s="34"/>
    </row>
    <row r="27" spans="1:14" s="24" customFormat="1" x14ac:dyDescent="0.2">
      <c r="A27" s="20" t="s">
        <v>73</v>
      </c>
      <c r="B27" s="20"/>
      <c r="C27" s="21">
        <v>311.55</v>
      </c>
      <c r="D27" s="20"/>
      <c r="E27" s="21">
        <v>311.55</v>
      </c>
      <c r="F27" s="34"/>
    </row>
    <row r="28" spans="1:14" s="24" customFormat="1" x14ac:dyDescent="0.2">
      <c r="A28" s="20" t="s">
        <v>76</v>
      </c>
      <c r="B28" s="20"/>
      <c r="C28" s="21">
        <v>14.99</v>
      </c>
      <c r="D28" s="20"/>
      <c r="E28" s="21">
        <v>14.99</v>
      </c>
    </row>
    <row r="29" spans="1:14" s="24" customFormat="1" x14ac:dyDescent="0.2">
      <c r="A29" s="20" t="s">
        <v>185</v>
      </c>
      <c r="B29" s="20"/>
      <c r="C29" s="21">
        <v>126</v>
      </c>
      <c r="D29" s="20"/>
      <c r="E29" s="21">
        <v>126</v>
      </c>
      <c r="F29" s="34"/>
    </row>
    <row r="30" spans="1:14" s="24" customFormat="1" x14ac:dyDescent="0.2">
      <c r="A30" s="20" t="s">
        <v>75</v>
      </c>
      <c r="B30" s="20"/>
      <c r="C30" s="21">
        <v>256.22000000000003</v>
      </c>
      <c r="D30" s="20"/>
      <c r="E30" s="21">
        <v>256.22000000000003</v>
      </c>
      <c r="F30" s="34"/>
    </row>
    <row r="31" spans="1:14" s="24" customFormat="1" x14ac:dyDescent="0.2">
      <c r="A31" s="20" t="s">
        <v>77</v>
      </c>
      <c r="B31" s="20"/>
      <c r="C31" s="21">
        <v>284.17</v>
      </c>
      <c r="D31" s="20"/>
      <c r="E31" s="21">
        <v>284.17</v>
      </c>
    </row>
    <row r="32" spans="1:14" s="24" customFormat="1" x14ac:dyDescent="0.2">
      <c r="A32" s="20" t="s">
        <v>78</v>
      </c>
      <c r="B32" s="20"/>
      <c r="C32" s="21">
        <v>132.16</v>
      </c>
      <c r="D32" s="20"/>
      <c r="E32" s="21">
        <v>132.16</v>
      </c>
    </row>
    <row r="33" spans="1:6" s="26" customFormat="1" x14ac:dyDescent="0.2">
      <c r="A33" s="14"/>
      <c r="B33" s="14"/>
      <c r="C33" s="14"/>
      <c r="D33" s="14"/>
      <c r="E33" s="14"/>
      <c r="F33" s="35"/>
    </row>
    <row r="36" spans="1:6" s="26" customFormat="1" x14ac:dyDescent="0.2">
      <c r="B36" s="44"/>
      <c r="C36" s="46"/>
    </row>
    <row r="37" spans="1:6" s="26" customFormat="1" x14ac:dyDescent="0.2">
      <c r="B37" s="44"/>
      <c r="C37" s="46"/>
    </row>
    <row r="38" spans="1:6" x14ac:dyDescent="0.2">
      <c r="A38" s="26"/>
      <c r="B38" s="44"/>
      <c r="C38" s="46"/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34"/>
  <sheetViews>
    <sheetView topLeftCell="A19" workbookViewId="0">
      <selection activeCell="C23" sqref="C23"/>
    </sheetView>
  </sheetViews>
  <sheetFormatPr baseColWidth="10" defaultColWidth="8.83203125" defaultRowHeight="15" x14ac:dyDescent="0.2"/>
  <cols>
    <col min="1" max="1" width="40.5" bestFit="1" customWidth="1"/>
    <col min="3" max="3" width="22.6640625" bestFit="1" customWidth="1"/>
    <col min="4" max="4" width="9.33203125" bestFit="1" customWidth="1"/>
    <col min="5" max="5" width="21.1640625" bestFit="1" customWidth="1"/>
    <col min="6" max="6" width="17.5" bestFit="1" customWidth="1"/>
    <col min="12" max="12" width="29.1640625" bestFit="1" customWidth="1"/>
    <col min="14" max="14" width="10.1640625" bestFit="1" customWidth="1"/>
  </cols>
  <sheetData>
    <row r="1" spans="1:6" ht="21" x14ac:dyDescent="0.25">
      <c r="A1" s="1" t="s">
        <v>176</v>
      </c>
    </row>
    <row r="2" spans="1:6" x14ac:dyDescent="0.2">
      <c r="C2" s="144"/>
      <c r="D2" s="144"/>
    </row>
    <row r="3" spans="1:6" x14ac:dyDescent="0.2">
      <c r="A3" s="17" t="s">
        <v>56</v>
      </c>
      <c r="B3" s="4"/>
      <c r="C3" s="5"/>
      <c r="D3" s="18" t="s">
        <v>24</v>
      </c>
      <c r="E3" s="4"/>
      <c r="F3" s="6" t="s">
        <v>23</v>
      </c>
    </row>
    <row r="4" spans="1:6" s="26" customFormat="1" x14ac:dyDescent="0.2">
      <c r="A4" s="25" t="s">
        <v>177</v>
      </c>
      <c r="B4" s="25"/>
      <c r="C4" s="33"/>
      <c r="D4" s="33">
        <v>1748.02</v>
      </c>
      <c r="E4" s="33"/>
      <c r="F4" s="33"/>
    </row>
    <row r="5" spans="1:6" s="26" customFormat="1" x14ac:dyDescent="0.2">
      <c r="A5" s="25" t="s">
        <v>178</v>
      </c>
      <c r="B5" s="25"/>
      <c r="C5" s="47"/>
      <c r="D5" s="33">
        <v>1664.14</v>
      </c>
      <c r="E5" s="25"/>
      <c r="F5" s="33"/>
    </row>
    <row r="6" spans="1:6" s="26" customFormat="1" x14ac:dyDescent="0.2">
      <c r="A6" s="25"/>
      <c r="B6" s="25"/>
      <c r="C6" s="33"/>
      <c r="D6" s="33"/>
      <c r="E6" s="33"/>
      <c r="F6" s="33"/>
    </row>
    <row r="7" spans="1:6" s="26" customFormat="1" x14ac:dyDescent="0.2">
      <c r="A7" s="25"/>
      <c r="B7" s="25"/>
      <c r="C7" s="25"/>
      <c r="D7" s="33"/>
      <c r="E7" s="25"/>
      <c r="F7" s="33"/>
    </row>
    <row r="8" spans="1:6" s="26" customFormat="1" x14ac:dyDescent="0.2">
      <c r="A8" s="25"/>
      <c r="B8" s="25"/>
      <c r="C8" s="25"/>
      <c r="D8" s="25"/>
      <c r="E8" s="25"/>
      <c r="F8" s="33"/>
    </row>
    <row r="9" spans="1:6" s="26" customFormat="1" x14ac:dyDescent="0.2">
      <c r="D9" s="42">
        <f>D4+D5+D6+D7</f>
        <v>3412.16</v>
      </c>
      <c r="F9" s="42">
        <f>F4+F5+F6+F7+F8</f>
        <v>0</v>
      </c>
    </row>
    <row r="10" spans="1:6" s="26" customFormat="1" x14ac:dyDescent="0.2">
      <c r="A10" s="43"/>
      <c r="B10" s="43"/>
      <c r="C10" s="43"/>
      <c r="D10" s="43"/>
      <c r="E10" s="43"/>
    </row>
    <row r="11" spans="1:6" s="26" customFormat="1" x14ac:dyDescent="0.2">
      <c r="A11" s="43"/>
      <c r="B11" s="43"/>
      <c r="C11" s="43"/>
      <c r="D11" s="43"/>
      <c r="E11" s="43"/>
    </row>
    <row r="12" spans="1:6" s="26" customFormat="1" x14ac:dyDescent="0.2">
      <c r="A12" s="32" t="s">
        <v>1</v>
      </c>
      <c r="B12" s="25"/>
      <c r="C12" s="32" t="s">
        <v>2</v>
      </c>
      <c r="D12" s="25"/>
      <c r="E12" s="32" t="s">
        <v>3</v>
      </c>
    </row>
    <row r="13" spans="1:6" s="26" customFormat="1" x14ac:dyDescent="0.2">
      <c r="A13" s="32" t="s">
        <v>12</v>
      </c>
      <c r="B13" s="25"/>
      <c r="C13" s="32"/>
      <c r="D13" s="25"/>
      <c r="E13" s="32"/>
    </row>
    <row r="14" spans="1:6" s="24" customFormat="1" x14ac:dyDescent="0.2">
      <c r="A14" s="20" t="s">
        <v>60</v>
      </c>
      <c r="B14" s="20"/>
      <c r="C14" s="20">
        <v>117</v>
      </c>
      <c r="D14" s="20"/>
      <c r="E14" s="20">
        <v>117</v>
      </c>
    </row>
    <row r="15" spans="1:6" s="24" customFormat="1" x14ac:dyDescent="0.2">
      <c r="A15" s="20" t="s">
        <v>59</v>
      </c>
      <c r="B15" s="20"/>
      <c r="C15" s="21">
        <v>839.24</v>
      </c>
      <c r="D15" s="20"/>
      <c r="E15" s="21">
        <v>787.74</v>
      </c>
      <c r="F15" s="34"/>
    </row>
    <row r="16" spans="1:6" s="24" customFormat="1" x14ac:dyDescent="0.2">
      <c r="A16" s="20" t="s">
        <v>76</v>
      </c>
      <c r="B16" s="20"/>
      <c r="C16" s="21">
        <v>14.99</v>
      </c>
      <c r="D16" s="20"/>
      <c r="E16" s="21">
        <v>14.99</v>
      </c>
    </row>
    <row r="17" spans="1:6" s="24" customFormat="1" x14ac:dyDescent="0.2">
      <c r="A17" s="20" t="s">
        <v>175</v>
      </c>
      <c r="B17" s="20"/>
      <c r="C17" s="21">
        <v>152.83000000000001</v>
      </c>
      <c r="D17" s="20"/>
      <c r="E17" s="21">
        <v>356.1</v>
      </c>
      <c r="F17" s="34"/>
    </row>
    <row r="18" spans="1:6" s="24" customFormat="1" x14ac:dyDescent="0.2">
      <c r="A18" s="20" t="s">
        <v>171</v>
      </c>
      <c r="B18" s="20"/>
      <c r="C18" s="21">
        <v>45</v>
      </c>
      <c r="D18" s="20"/>
      <c r="E18" s="21">
        <v>45</v>
      </c>
      <c r="F18" s="34"/>
    </row>
    <row r="19" spans="1:6" s="24" customFormat="1" x14ac:dyDescent="0.2">
      <c r="A19" s="20" t="s">
        <v>63</v>
      </c>
      <c r="B19" s="20"/>
      <c r="C19" s="21">
        <v>7.95</v>
      </c>
      <c r="D19" s="20"/>
      <c r="E19" s="21">
        <v>7.95</v>
      </c>
    </row>
    <row r="20" spans="1:6" s="24" customFormat="1" x14ac:dyDescent="0.2">
      <c r="A20" s="20" t="s">
        <v>66</v>
      </c>
      <c r="B20" s="20"/>
      <c r="C20" s="21">
        <v>21</v>
      </c>
      <c r="D20" s="20"/>
      <c r="E20" s="21"/>
    </row>
    <row r="21" spans="1:6" s="26" customFormat="1" x14ac:dyDescent="0.2">
      <c r="A21" s="29"/>
      <c r="B21" s="29"/>
      <c r="C21" s="30"/>
      <c r="D21" s="29"/>
      <c r="E21" s="30"/>
    </row>
    <row r="22" spans="1:6" s="26" customFormat="1" x14ac:dyDescent="0.2">
      <c r="A22" s="32" t="s">
        <v>13</v>
      </c>
      <c r="B22" s="25"/>
      <c r="C22" s="27"/>
      <c r="D22" s="25"/>
      <c r="E22" s="27"/>
    </row>
    <row r="23" spans="1:6" s="24" customFormat="1" x14ac:dyDescent="0.2">
      <c r="A23" s="20" t="s">
        <v>72</v>
      </c>
      <c r="B23" s="20"/>
      <c r="C23" s="21">
        <v>488.22</v>
      </c>
      <c r="D23" s="20"/>
      <c r="E23" s="21">
        <v>488.22</v>
      </c>
    </row>
    <row r="24" spans="1:6" s="24" customFormat="1" x14ac:dyDescent="0.2">
      <c r="A24" s="20" t="s">
        <v>79</v>
      </c>
      <c r="B24" s="20"/>
      <c r="C24" s="21">
        <v>138.63999999999999</v>
      </c>
      <c r="D24" s="20"/>
      <c r="E24" s="21"/>
      <c r="F24" s="34"/>
    </row>
    <row r="25" spans="1:6" s="24" customFormat="1" x14ac:dyDescent="0.2">
      <c r="A25" s="20" t="s">
        <v>73</v>
      </c>
      <c r="B25" s="20"/>
      <c r="C25" s="21">
        <v>311.55</v>
      </c>
      <c r="D25" s="20"/>
      <c r="E25" s="21">
        <v>311.55</v>
      </c>
      <c r="F25" s="34"/>
    </row>
    <row r="26" spans="1:6" s="24" customFormat="1" x14ac:dyDescent="0.2">
      <c r="A26" s="20" t="s">
        <v>75</v>
      </c>
      <c r="B26" s="20"/>
      <c r="C26" s="21">
        <v>256.22000000000003</v>
      </c>
      <c r="D26" s="20"/>
      <c r="E26" s="21">
        <v>135.30000000000001</v>
      </c>
      <c r="F26" s="34"/>
    </row>
    <row r="27" spans="1:6" s="24" customFormat="1" x14ac:dyDescent="0.2">
      <c r="A27" s="20" t="s">
        <v>77</v>
      </c>
      <c r="B27" s="20"/>
      <c r="C27" s="21">
        <v>344.54</v>
      </c>
      <c r="D27" s="20"/>
      <c r="E27" s="21"/>
    </row>
    <row r="28" spans="1:6" s="24" customFormat="1" x14ac:dyDescent="0.2">
      <c r="A28" s="20" t="s">
        <v>78</v>
      </c>
      <c r="B28" s="20"/>
      <c r="C28" s="21">
        <v>132.16</v>
      </c>
      <c r="D28" s="20"/>
      <c r="E28" s="21">
        <v>132</v>
      </c>
    </row>
    <row r="29" spans="1:6" s="26" customFormat="1" x14ac:dyDescent="0.2">
      <c r="A29" s="14"/>
      <c r="B29" s="14"/>
      <c r="C29" s="14"/>
      <c r="D29" s="14"/>
      <c r="E29" s="14"/>
      <c r="F29" s="35"/>
    </row>
    <row r="32" spans="1:6" s="26" customFormat="1" x14ac:dyDescent="0.2">
      <c r="A32" s="26" t="s">
        <v>162</v>
      </c>
      <c r="B32" s="44" t="s">
        <v>160</v>
      </c>
      <c r="C32" s="46" t="s">
        <v>161</v>
      </c>
    </row>
    <row r="33" spans="1:3" s="26" customFormat="1" x14ac:dyDescent="0.2">
      <c r="A33" s="26" t="s">
        <v>163</v>
      </c>
      <c r="B33" s="44" t="s">
        <v>160</v>
      </c>
      <c r="C33" s="46" t="s">
        <v>164</v>
      </c>
    </row>
    <row r="34" spans="1:3" x14ac:dyDescent="0.2">
      <c r="A34" s="26" t="s">
        <v>165</v>
      </c>
      <c r="B34" s="44" t="s">
        <v>160</v>
      </c>
      <c r="C34" s="46" t="s">
        <v>166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34"/>
  <sheetViews>
    <sheetView topLeftCell="A7" workbookViewId="0">
      <selection activeCell="A28" sqref="A28:XFD28"/>
    </sheetView>
  </sheetViews>
  <sheetFormatPr baseColWidth="10" defaultColWidth="8.83203125" defaultRowHeight="15" x14ac:dyDescent="0.2"/>
  <cols>
    <col min="1" max="1" width="40.5" bestFit="1" customWidth="1"/>
    <col min="3" max="3" width="22.6640625" bestFit="1" customWidth="1"/>
    <col min="4" max="4" width="9.33203125" bestFit="1" customWidth="1"/>
    <col min="5" max="5" width="21.1640625" bestFit="1" customWidth="1"/>
    <col min="6" max="6" width="17.5" bestFit="1" customWidth="1"/>
    <col min="12" max="12" width="29.1640625" bestFit="1" customWidth="1"/>
    <col min="14" max="14" width="10.1640625" bestFit="1" customWidth="1"/>
  </cols>
  <sheetData>
    <row r="1" spans="1:6" ht="21" x14ac:dyDescent="0.25">
      <c r="A1" s="1" t="s">
        <v>172</v>
      </c>
    </row>
    <row r="2" spans="1:6" x14ac:dyDescent="0.2">
      <c r="C2" s="144"/>
      <c r="D2" s="144"/>
    </row>
    <row r="3" spans="1:6" x14ac:dyDescent="0.2">
      <c r="A3" s="17" t="s">
        <v>44</v>
      </c>
      <c r="B3" s="4"/>
      <c r="C3" s="5"/>
      <c r="D3" s="18" t="s">
        <v>24</v>
      </c>
      <c r="E3" s="4"/>
      <c r="F3" s="6" t="s">
        <v>23</v>
      </c>
    </row>
    <row r="4" spans="1:6" s="26" customFormat="1" x14ac:dyDescent="0.2">
      <c r="A4" s="25" t="s">
        <v>170</v>
      </c>
      <c r="B4" s="25"/>
      <c r="C4" s="33"/>
      <c r="D4" s="33">
        <v>1338.79</v>
      </c>
      <c r="E4" s="33"/>
      <c r="F4" s="33">
        <v>202.21</v>
      </c>
    </row>
    <row r="5" spans="1:6" s="26" customFormat="1" x14ac:dyDescent="0.2">
      <c r="A5" s="25" t="s">
        <v>173</v>
      </c>
      <c r="B5" s="25"/>
      <c r="C5" s="47"/>
      <c r="D5" s="33">
        <v>1577.69</v>
      </c>
      <c r="E5" s="25"/>
      <c r="F5" s="33">
        <v>38.31</v>
      </c>
    </row>
    <row r="6" spans="1:6" s="26" customFormat="1" x14ac:dyDescent="0.2">
      <c r="A6" s="25" t="s">
        <v>174</v>
      </c>
      <c r="B6" s="25"/>
      <c r="C6" s="33"/>
      <c r="D6" s="33"/>
      <c r="E6" s="33"/>
      <c r="F6" s="33">
        <v>1616</v>
      </c>
    </row>
    <row r="7" spans="1:6" s="26" customFormat="1" x14ac:dyDescent="0.2">
      <c r="A7" s="25"/>
      <c r="B7" s="25"/>
      <c r="C7" s="25"/>
      <c r="D7" s="33"/>
      <c r="E7" s="25"/>
      <c r="F7" s="33"/>
    </row>
    <row r="8" spans="1:6" s="26" customFormat="1" x14ac:dyDescent="0.2">
      <c r="A8" s="25"/>
      <c r="B8" s="25"/>
      <c r="C8" s="25"/>
      <c r="D8" s="25"/>
      <c r="E8" s="25"/>
      <c r="F8" s="33"/>
    </row>
    <row r="9" spans="1:6" s="26" customFormat="1" x14ac:dyDescent="0.2">
      <c r="D9" s="42">
        <f>D4+D5+D6+D7</f>
        <v>2916.48</v>
      </c>
      <c r="F9" s="42">
        <f>F4+F5+F6+F7+F8</f>
        <v>1856.52</v>
      </c>
    </row>
    <row r="10" spans="1:6" s="26" customFormat="1" x14ac:dyDescent="0.2">
      <c r="A10" s="43"/>
      <c r="B10" s="43"/>
      <c r="C10" s="43"/>
      <c r="D10" s="43"/>
      <c r="E10" s="43"/>
    </row>
    <row r="11" spans="1:6" s="26" customFormat="1" x14ac:dyDescent="0.2">
      <c r="A11" s="43"/>
      <c r="B11" s="43"/>
      <c r="C11" s="43"/>
      <c r="D11" s="43"/>
      <c r="E11" s="43"/>
    </row>
    <row r="12" spans="1:6" s="26" customFormat="1" x14ac:dyDescent="0.2">
      <c r="A12" s="32" t="s">
        <v>1</v>
      </c>
      <c r="B12" s="25"/>
      <c r="C12" s="32" t="s">
        <v>2</v>
      </c>
      <c r="D12" s="25"/>
      <c r="E12" s="32" t="s">
        <v>3</v>
      </c>
    </row>
    <row r="13" spans="1:6" s="26" customFormat="1" x14ac:dyDescent="0.2">
      <c r="A13" s="32" t="s">
        <v>12</v>
      </c>
      <c r="B13" s="25"/>
      <c r="C13" s="32"/>
      <c r="D13" s="25"/>
      <c r="E13" s="32"/>
    </row>
    <row r="14" spans="1:6" s="24" customFormat="1" x14ac:dyDescent="0.2">
      <c r="A14" s="20" t="s">
        <v>60</v>
      </c>
      <c r="B14" s="20"/>
      <c r="C14" s="20">
        <v>117</v>
      </c>
      <c r="D14" s="20"/>
      <c r="E14" s="20">
        <v>117</v>
      </c>
    </row>
    <row r="15" spans="1:6" s="24" customFormat="1" x14ac:dyDescent="0.2">
      <c r="A15" s="20" t="s">
        <v>59</v>
      </c>
      <c r="B15" s="20"/>
      <c r="C15" s="21">
        <v>787.74</v>
      </c>
      <c r="D15" s="20"/>
      <c r="E15" s="21">
        <v>787.74</v>
      </c>
      <c r="F15" s="34"/>
    </row>
    <row r="16" spans="1:6" s="24" customFormat="1" x14ac:dyDescent="0.2">
      <c r="A16" s="20" t="s">
        <v>175</v>
      </c>
      <c r="B16" s="20"/>
      <c r="C16" s="21">
        <v>152.83000000000001</v>
      </c>
      <c r="D16" s="20"/>
      <c r="E16" s="21">
        <v>356.1</v>
      </c>
      <c r="F16" s="34"/>
    </row>
    <row r="17" spans="1:6" s="24" customFormat="1" x14ac:dyDescent="0.2">
      <c r="A17" s="20" t="s">
        <v>171</v>
      </c>
      <c r="B17" s="20"/>
      <c r="C17" s="21">
        <v>45</v>
      </c>
      <c r="D17" s="20"/>
      <c r="E17" s="21">
        <v>45</v>
      </c>
      <c r="F17" s="34"/>
    </row>
    <row r="18" spans="1:6" s="24" customFormat="1" x14ac:dyDescent="0.2">
      <c r="A18" s="20" t="s">
        <v>63</v>
      </c>
      <c r="B18" s="20"/>
      <c r="C18" s="21">
        <v>7.95</v>
      </c>
      <c r="D18" s="20"/>
      <c r="E18" s="21">
        <v>7.95</v>
      </c>
    </row>
    <row r="19" spans="1:6" s="24" customFormat="1" x14ac:dyDescent="0.2">
      <c r="A19" s="20" t="s">
        <v>66</v>
      </c>
      <c r="B19" s="20"/>
      <c r="C19" s="21">
        <v>21</v>
      </c>
      <c r="D19" s="20"/>
      <c r="E19" s="21"/>
    </row>
    <row r="20" spans="1:6" s="26" customFormat="1" x14ac:dyDescent="0.2">
      <c r="A20" s="29"/>
      <c r="B20" s="29"/>
      <c r="C20" s="30"/>
      <c r="D20" s="29"/>
      <c r="E20" s="30"/>
    </row>
    <row r="21" spans="1:6" s="26" customFormat="1" x14ac:dyDescent="0.2">
      <c r="A21" s="32" t="s">
        <v>13</v>
      </c>
      <c r="B21" s="25"/>
      <c r="C21" s="27"/>
      <c r="D21" s="25"/>
      <c r="E21" s="27"/>
    </row>
    <row r="22" spans="1:6" s="24" customFormat="1" x14ac:dyDescent="0.2">
      <c r="A22" s="20" t="s">
        <v>72</v>
      </c>
      <c r="B22" s="20"/>
      <c r="C22" s="21">
        <v>488.22</v>
      </c>
      <c r="D22" s="20"/>
      <c r="E22" s="21">
        <v>488.22</v>
      </c>
    </row>
    <row r="23" spans="1:6" s="24" customFormat="1" x14ac:dyDescent="0.2">
      <c r="A23" s="20" t="s">
        <v>79</v>
      </c>
      <c r="B23" s="20"/>
      <c r="C23" s="21">
        <v>138</v>
      </c>
      <c r="D23" s="20"/>
      <c r="E23" s="21"/>
      <c r="F23" s="34"/>
    </row>
    <row r="24" spans="1:6" s="24" customFormat="1" x14ac:dyDescent="0.2">
      <c r="A24" s="20" t="s">
        <v>73</v>
      </c>
      <c r="B24" s="20"/>
      <c r="C24" s="21">
        <v>311.55</v>
      </c>
      <c r="D24" s="20"/>
      <c r="E24" s="21">
        <v>311.55</v>
      </c>
      <c r="F24" s="34"/>
    </row>
    <row r="25" spans="1:6" s="24" customFormat="1" x14ac:dyDescent="0.2">
      <c r="A25" s="20" t="s">
        <v>75</v>
      </c>
      <c r="B25" s="20"/>
      <c r="C25" s="21">
        <v>256.22000000000003</v>
      </c>
      <c r="D25" s="20"/>
      <c r="E25" s="21">
        <v>135.30000000000001</v>
      </c>
      <c r="F25" s="34"/>
    </row>
    <row r="26" spans="1:6" s="24" customFormat="1" x14ac:dyDescent="0.2">
      <c r="A26" s="20" t="s">
        <v>76</v>
      </c>
      <c r="B26" s="20"/>
      <c r="C26" s="21">
        <v>14.99</v>
      </c>
      <c r="D26" s="20"/>
      <c r="E26" s="21">
        <v>14.99</v>
      </c>
    </row>
    <row r="27" spans="1:6" s="24" customFormat="1" x14ac:dyDescent="0.2">
      <c r="A27" s="20" t="s">
        <v>77</v>
      </c>
      <c r="B27" s="20"/>
      <c r="C27" s="21">
        <v>323</v>
      </c>
      <c r="D27" s="20"/>
      <c r="E27" s="21"/>
    </row>
    <row r="28" spans="1:6" s="24" customFormat="1" x14ac:dyDescent="0.2">
      <c r="A28" s="20" t="s">
        <v>78</v>
      </c>
      <c r="B28" s="20"/>
      <c r="C28" s="21">
        <v>132.16</v>
      </c>
      <c r="D28" s="20"/>
      <c r="E28" s="21">
        <v>132</v>
      </c>
    </row>
    <row r="29" spans="1:6" s="26" customFormat="1" x14ac:dyDescent="0.2">
      <c r="A29" s="14"/>
      <c r="B29" s="14"/>
      <c r="C29" s="14"/>
      <c r="D29" s="14"/>
      <c r="E29" s="14"/>
      <c r="F29" s="35"/>
    </row>
    <row r="32" spans="1:6" s="26" customFormat="1" x14ac:dyDescent="0.2">
      <c r="A32" s="26" t="s">
        <v>162</v>
      </c>
      <c r="B32" s="44" t="s">
        <v>160</v>
      </c>
      <c r="C32" s="46" t="s">
        <v>161</v>
      </c>
    </row>
    <row r="33" spans="1:3" s="26" customFormat="1" x14ac:dyDescent="0.2">
      <c r="A33" s="26" t="s">
        <v>163</v>
      </c>
      <c r="B33" s="44" t="s">
        <v>160</v>
      </c>
      <c r="C33" s="46" t="s">
        <v>164</v>
      </c>
    </row>
    <row r="34" spans="1:3" x14ac:dyDescent="0.2">
      <c r="A34" s="26" t="s">
        <v>165</v>
      </c>
      <c r="B34" s="44" t="s">
        <v>160</v>
      </c>
      <c r="C34" s="46" t="s">
        <v>166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33"/>
  <sheetViews>
    <sheetView workbookViewId="0">
      <selection activeCell="A27" sqref="A27:XFD27"/>
    </sheetView>
  </sheetViews>
  <sheetFormatPr baseColWidth="10" defaultColWidth="8.83203125" defaultRowHeight="15" x14ac:dyDescent="0.2"/>
  <cols>
    <col min="1" max="1" width="40.5" bestFit="1" customWidth="1"/>
    <col min="3" max="3" width="22.6640625" bestFit="1" customWidth="1"/>
    <col min="4" max="4" width="9.33203125" bestFit="1" customWidth="1"/>
    <col min="5" max="5" width="21.1640625" bestFit="1" customWidth="1"/>
    <col min="6" max="6" width="17.5" bestFit="1" customWidth="1"/>
    <col min="12" max="12" width="29.1640625" bestFit="1" customWidth="1"/>
    <col min="14" max="14" width="10.1640625" bestFit="1" customWidth="1"/>
  </cols>
  <sheetData>
    <row r="1" spans="1:6" ht="21" x14ac:dyDescent="0.25">
      <c r="A1" s="1" t="s">
        <v>167</v>
      </c>
    </row>
    <row r="2" spans="1:6" x14ac:dyDescent="0.2">
      <c r="C2" s="144"/>
      <c r="D2" s="144"/>
    </row>
    <row r="3" spans="1:6" x14ac:dyDescent="0.2">
      <c r="A3" s="17" t="s">
        <v>35</v>
      </c>
      <c r="B3" s="4"/>
      <c r="C3" s="5"/>
      <c r="D3" s="18" t="s">
        <v>24</v>
      </c>
      <c r="E3" s="4"/>
      <c r="F3" s="6" t="s">
        <v>23</v>
      </c>
    </row>
    <row r="4" spans="1:6" s="24" customFormat="1" x14ac:dyDescent="0.2">
      <c r="A4" s="20" t="s">
        <v>168</v>
      </c>
      <c r="B4" s="20"/>
      <c r="C4" s="22"/>
      <c r="D4" s="22">
        <v>1413.79</v>
      </c>
      <c r="E4" s="22"/>
      <c r="F4" s="22">
        <v>202.21</v>
      </c>
    </row>
    <row r="5" spans="1:6" s="26" customFormat="1" x14ac:dyDescent="0.2">
      <c r="A5" s="25" t="s">
        <v>169</v>
      </c>
      <c r="B5" s="25"/>
      <c r="C5" s="47"/>
      <c r="D5" s="33">
        <v>1577.69</v>
      </c>
      <c r="E5" s="25"/>
      <c r="F5" s="33">
        <v>38.31</v>
      </c>
    </row>
    <row r="6" spans="1:6" s="26" customFormat="1" x14ac:dyDescent="0.2">
      <c r="A6" s="25" t="s">
        <v>170</v>
      </c>
      <c r="B6" s="25"/>
      <c r="C6" s="33"/>
      <c r="D6" s="33"/>
      <c r="E6" s="33"/>
      <c r="F6" s="33">
        <v>1616</v>
      </c>
    </row>
    <row r="7" spans="1:6" s="26" customFormat="1" x14ac:dyDescent="0.2">
      <c r="A7" s="25"/>
      <c r="B7" s="25"/>
      <c r="C7" s="25"/>
      <c r="D7" s="33"/>
      <c r="E7" s="25"/>
      <c r="F7" s="33"/>
    </row>
    <row r="8" spans="1:6" s="26" customFormat="1" x14ac:dyDescent="0.2">
      <c r="A8" s="25"/>
      <c r="B8" s="25"/>
      <c r="C8" s="25"/>
      <c r="D8" s="25"/>
      <c r="E8" s="25"/>
      <c r="F8" s="33"/>
    </row>
    <row r="9" spans="1:6" s="26" customFormat="1" x14ac:dyDescent="0.2">
      <c r="D9" s="42">
        <f>D4+D5+D6+D7</f>
        <v>2991.48</v>
      </c>
      <c r="F9" s="42">
        <f>F4+F5+F6+F7+F8</f>
        <v>1856.52</v>
      </c>
    </row>
    <row r="10" spans="1:6" s="26" customFormat="1" x14ac:dyDescent="0.2">
      <c r="A10" s="43"/>
      <c r="B10" s="43"/>
      <c r="C10" s="43"/>
      <c r="D10" s="43"/>
      <c r="E10" s="43"/>
    </row>
    <row r="11" spans="1:6" s="26" customFormat="1" x14ac:dyDescent="0.2">
      <c r="A11" s="43"/>
      <c r="B11" s="43"/>
      <c r="C11" s="43"/>
      <c r="D11" s="43"/>
      <c r="E11" s="43"/>
    </row>
    <row r="12" spans="1:6" s="26" customFormat="1" x14ac:dyDescent="0.2">
      <c r="A12" s="32" t="s">
        <v>1</v>
      </c>
      <c r="B12" s="25"/>
      <c r="C12" s="32" t="s">
        <v>2</v>
      </c>
      <c r="D12" s="25"/>
      <c r="E12" s="32" t="s">
        <v>3</v>
      </c>
    </row>
    <row r="13" spans="1:6" s="26" customFormat="1" x14ac:dyDescent="0.2">
      <c r="A13" s="32" t="s">
        <v>12</v>
      </c>
      <c r="B13" s="25"/>
      <c r="C13" s="32"/>
      <c r="D13" s="25"/>
      <c r="E13" s="32"/>
    </row>
    <row r="14" spans="1:6" s="24" customFormat="1" x14ac:dyDescent="0.2">
      <c r="A14" s="20" t="s">
        <v>60</v>
      </c>
      <c r="B14" s="20"/>
      <c r="C14" s="20">
        <v>117</v>
      </c>
      <c r="D14" s="20"/>
      <c r="E14" s="20">
        <v>117</v>
      </c>
    </row>
    <row r="15" spans="1:6" s="24" customFormat="1" x14ac:dyDescent="0.2">
      <c r="A15" s="20" t="s">
        <v>59</v>
      </c>
      <c r="B15" s="20"/>
      <c r="C15" s="21">
        <v>787.74</v>
      </c>
      <c r="D15" s="20"/>
      <c r="E15" s="21">
        <v>787.74</v>
      </c>
      <c r="F15" s="34"/>
    </row>
    <row r="16" spans="1:6" s="24" customFormat="1" x14ac:dyDescent="0.2">
      <c r="A16" s="20" t="s">
        <v>61</v>
      </c>
      <c r="B16" s="20"/>
      <c r="C16" s="21">
        <v>356.1</v>
      </c>
      <c r="D16" s="20"/>
      <c r="E16" s="21">
        <v>356.1</v>
      </c>
      <c r="F16" s="34"/>
    </row>
    <row r="17" spans="1:6" s="24" customFormat="1" x14ac:dyDescent="0.2">
      <c r="A17" s="20" t="s">
        <v>63</v>
      </c>
      <c r="B17" s="20"/>
      <c r="C17" s="21">
        <v>7.95</v>
      </c>
      <c r="D17" s="20"/>
      <c r="E17" s="21">
        <v>7.95</v>
      </c>
    </row>
    <row r="18" spans="1:6" s="24" customFormat="1" x14ac:dyDescent="0.2">
      <c r="A18" s="20" t="s">
        <v>66</v>
      </c>
      <c r="B18" s="20"/>
      <c r="C18" s="21">
        <v>25</v>
      </c>
      <c r="D18" s="20"/>
      <c r="E18" s="21"/>
    </row>
    <row r="19" spans="1:6" s="24" customFormat="1" x14ac:dyDescent="0.2">
      <c r="A19" s="29"/>
      <c r="B19" s="29"/>
      <c r="C19" s="30"/>
      <c r="D19" s="29"/>
      <c r="E19" s="30"/>
    </row>
    <row r="20" spans="1:6" s="26" customFormat="1" x14ac:dyDescent="0.2">
      <c r="A20" s="32" t="s">
        <v>13</v>
      </c>
      <c r="B20" s="25"/>
      <c r="C20" s="27"/>
      <c r="D20" s="25"/>
      <c r="E20" s="27"/>
    </row>
    <row r="21" spans="1:6" s="24" customFormat="1" x14ac:dyDescent="0.2">
      <c r="A21" s="20" t="s">
        <v>72</v>
      </c>
      <c r="B21" s="20"/>
      <c r="C21" s="21">
        <v>488.22</v>
      </c>
      <c r="D21" s="20"/>
      <c r="E21" s="21">
        <v>488.22</v>
      </c>
    </row>
    <row r="22" spans="1:6" s="24" customFormat="1" x14ac:dyDescent="0.2">
      <c r="A22" s="20" t="s">
        <v>79</v>
      </c>
      <c r="B22" s="20"/>
      <c r="C22" s="21">
        <v>200</v>
      </c>
      <c r="D22" s="20"/>
      <c r="E22" s="21">
        <v>138.55000000000001</v>
      </c>
      <c r="F22" s="34"/>
    </row>
    <row r="23" spans="1:6" s="24" customFormat="1" x14ac:dyDescent="0.2">
      <c r="A23" s="20" t="s">
        <v>73</v>
      </c>
      <c r="B23" s="20"/>
      <c r="C23" s="21">
        <v>311.55</v>
      </c>
      <c r="D23" s="20"/>
      <c r="E23" s="21">
        <v>311.55</v>
      </c>
      <c r="F23" s="34"/>
    </row>
    <row r="24" spans="1:6" s="24" customFormat="1" x14ac:dyDescent="0.2">
      <c r="A24" s="20" t="s">
        <v>75</v>
      </c>
      <c r="B24" s="20"/>
      <c r="C24" s="21">
        <v>256.22000000000003</v>
      </c>
      <c r="D24" s="20"/>
      <c r="E24" s="21">
        <v>135.30000000000001</v>
      </c>
      <c r="F24" s="34"/>
    </row>
    <row r="25" spans="1:6" s="26" customFormat="1" x14ac:dyDescent="0.2">
      <c r="A25" s="25" t="s">
        <v>76</v>
      </c>
      <c r="B25" s="25"/>
      <c r="C25" s="27">
        <v>14.99</v>
      </c>
      <c r="D25" s="25"/>
      <c r="E25" s="27">
        <v>14.99</v>
      </c>
    </row>
    <row r="26" spans="1:6" s="24" customFormat="1" x14ac:dyDescent="0.2">
      <c r="A26" s="20" t="s">
        <v>77</v>
      </c>
      <c r="B26" s="20"/>
      <c r="C26" s="21">
        <v>250</v>
      </c>
      <c r="D26" s="20"/>
      <c r="E26" s="21"/>
    </row>
    <row r="27" spans="1:6" s="24" customFormat="1" x14ac:dyDescent="0.2">
      <c r="A27" s="20" t="s">
        <v>78</v>
      </c>
      <c r="B27" s="20"/>
      <c r="C27" s="21">
        <v>132.16</v>
      </c>
      <c r="D27" s="20"/>
      <c r="E27" s="21">
        <v>132</v>
      </c>
    </row>
    <row r="28" spans="1:6" s="26" customFormat="1" x14ac:dyDescent="0.2">
      <c r="A28" s="14"/>
      <c r="B28" s="14"/>
      <c r="C28" s="14"/>
      <c r="D28" s="14"/>
      <c r="E28" s="14"/>
      <c r="F28" s="35"/>
    </row>
    <row r="31" spans="1:6" s="26" customFormat="1" x14ac:dyDescent="0.2">
      <c r="A31" s="26" t="s">
        <v>162</v>
      </c>
      <c r="B31" s="44" t="s">
        <v>160</v>
      </c>
      <c r="C31" s="46" t="s">
        <v>161</v>
      </c>
    </row>
    <row r="32" spans="1:6" s="26" customFormat="1" x14ac:dyDescent="0.2">
      <c r="A32" s="26" t="s">
        <v>163</v>
      </c>
      <c r="B32" s="44" t="s">
        <v>160</v>
      </c>
      <c r="C32" s="46" t="s">
        <v>164</v>
      </c>
    </row>
    <row r="33" spans="1:3" x14ac:dyDescent="0.2">
      <c r="A33" s="26" t="s">
        <v>165</v>
      </c>
      <c r="B33" s="44" t="s">
        <v>160</v>
      </c>
      <c r="C33" s="46" t="s">
        <v>166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37"/>
  <sheetViews>
    <sheetView workbookViewId="0">
      <selection activeCell="A29" sqref="A29:XFD29"/>
    </sheetView>
  </sheetViews>
  <sheetFormatPr baseColWidth="10" defaultColWidth="8.83203125" defaultRowHeight="15" x14ac:dyDescent="0.2"/>
  <cols>
    <col min="1" max="1" width="40.5" bestFit="1" customWidth="1"/>
    <col min="3" max="3" width="22.6640625" bestFit="1" customWidth="1"/>
    <col min="4" max="4" width="9.33203125" bestFit="1" customWidth="1"/>
    <col min="5" max="5" width="21.1640625" bestFit="1" customWidth="1"/>
    <col min="6" max="6" width="17.5" bestFit="1" customWidth="1"/>
    <col min="12" max="12" width="29.1640625" bestFit="1" customWidth="1"/>
    <col min="14" max="14" width="10.1640625" bestFit="1" customWidth="1"/>
  </cols>
  <sheetData>
    <row r="1" spans="1:6" ht="21" x14ac:dyDescent="0.25">
      <c r="A1" s="1" t="s">
        <v>155</v>
      </c>
    </row>
    <row r="2" spans="1:6" x14ac:dyDescent="0.2">
      <c r="C2" s="144"/>
      <c r="D2" s="144"/>
    </row>
    <row r="3" spans="1:6" x14ac:dyDescent="0.2">
      <c r="A3" s="17" t="s">
        <v>31</v>
      </c>
      <c r="B3" s="4"/>
      <c r="C3" s="5"/>
      <c r="D3" s="18" t="s">
        <v>24</v>
      </c>
      <c r="E3" s="4"/>
      <c r="F3" s="6" t="s">
        <v>23</v>
      </c>
    </row>
    <row r="4" spans="1:6" s="24" customFormat="1" x14ac:dyDescent="0.2">
      <c r="A4" s="20" t="s">
        <v>156</v>
      </c>
      <c r="B4" s="20"/>
      <c r="C4" s="22"/>
      <c r="D4" s="22">
        <v>900.74</v>
      </c>
      <c r="E4" s="22"/>
      <c r="F4" s="22"/>
    </row>
    <row r="5" spans="1:6" s="24" customFormat="1" x14ac:dyDescent="0.2">
      <c r="A5" s="20" t="s">
        <v>157</v>
      </c>
      <c r="B5" s="20"/>
      <c r="C5" s="23"/>
      <c r="D5" s="22">
        <v>519.52</v>
      </c>
      <c r="E5" s="20"/>
      <c r="F5" s="22"/>
    </row>
    <row r="6" spans="1:6" s="24" customFormat="1" x14ac:dyDescent="0.2">
      <c r="A6" s="20" t="s">
        <v>158</v>
      </c>
      <c r="B6" s="20"/>
      <c r="C6" s="22"/>
      <c r="D6" s="22">
        <v>938.32</v>
      </c>
      <c r="E6" s="22"/>
      <c r="F6" s="22"/>
    </row>
    <row r="7" spans="1:6" s="24" customFormat="1" x14ac:dyDescent="0.2">
      <c r="A7" s="20" t="s">
        <v>159</v>
      </c>
      <c r="B7" s="20"/>
      <c r="C7" s="20"/>
      <c r="D7" s="22">
        <v>603.37</v>
      </c>
      <c r="E7" s="20"/>
      <c r="F7" s="22"/>
    </row>
    <row r="8" spans="1:6" s="26" customFormat="1" x14ac:dyDescent="0.2">
      <c r="A8" s="25"/>
      <c r="B8" s="25"/>
      <c r="C8" s="25"/>
      <c r="D8" s="25"/>
      <c r="E8" s="25"/>
      <c r="F8" s="33"/>
    </row>
    <row r="9" spans="1:6" s="26" customFormat="1" x14ac:dyDescent="0.2">
      <c r="D9" s="42">
        <f>D4+D5+D6+D7</f>
        <v>2961.95</v>
      </c>
      <c r="F9" s="42">
        <f>F4+F5+F6+F7+F8</f>
        <v>0</v>
      </c>
    </row>
    <row r="10" spans="1:6" s="26" customFormat="1" x14ac:dyDescent="0.2">
      <c r="A10" s="43"/>
      <c r="B10" s="43"/>
      <c r="C10" s="43"/>
      <c r="D10" s="43"/>
      <c r="E10" s="43"/>
    </row>
    <row r="11" spans="1:6" s="26" customFormat="1" x14ac:dyDescent="0.2">
      <c r="A11" s="43"/>
      <c r="B11" s="43"/>
      <c r="C11" s="43"/>
      <c r="D11" s="43"/>
      <c r="E11" s="43"/>
    </row>
    <row r="12" spans="1:6" s="26" customFormat="1" x14ac:dyDescent="0.2">
      <c r="A12" s="32" t="s">
        <v>1</v>
      </c>
      <c r="B12" s="25"/>
      <c r="C12" s="32" t="s">
        <v>2</v>
      </c>
      <c r="D12" s="25"/>
      <c r="E12" s="32" t="s">
        <v>3</v>
      </c>
    </row>
    <row r="13" spans="1:6" s="26" customFormat="1" x14ac:dyDescent="0.2">
      <c r="A13" s="32" t="s">
        <v>12</v>
      </c>
      <c r="B13" s="25"/>
      <c r="C13" s="32"/>
      <c r="D13" s="25"/>
      <c r="E13" s="32"/>
    </row>
    <row r="14" spans="1:6" s="24" customFormat="1" x14ac:dyDescent="0.2">
      <c r="A14" s="20" t="s">
        <v>60</v>
      </c>
      <c r="B14" s="20"/>
      <c r="C14" s="20">
        <v>113</v>
      </c>
      <c r="D14" s="20"/>
      <c r="E14" s="20">
        <v>113</v>
      </c>
    </row>
    <row r="15" spans="1:6" s="24" customFormat="1" x14ac:dyDescent="0.2">
      <c r="A15" s="20" t="s">
        <v>59</v>
      </c>
      <c r="B15" s="20"/>
      <c r="C15" s="21">
        <v>787.74</v>
      </c>
      <c r="D15" s="20"/>
      <c r="E15" s="21">
        <v>787.74</v>
      </c>
      <c r="F15" s="34"/>
    </row>
    <row r="16" spans="1:6" s="24" customFormat="1" x14ac:dyDescent="0.2">
      <c r="A16" s="20" t="s">
        <v>61</v>
      </c>
      <c r="B16" s="20"/>
      <c r="C16" s="21">
        <v>356.1</v>
      </c>
      <c r="D16" s="20"/>
      <c r="E16" s="21">
        <v>356.1</v>
      </c>
      <c r="F16" s="34"/>
    </row>
    <row r="17" spans="1:6" s="24" customFormat="1" x14ac:dyDescent="0.2">
      <c r="A17" s="20" t="s">
        <v>62</v>
      </c>
      <c r="B17" s="20"/>
      <c r="C17" s="21">
        <v>45</v>
      </c>
      <c r="D17" s="20"/>
      <c r="E17" s="21">
        <v>45</v>
      </c>
    </row>
    <row r="18" spans="1:6" s="24" customFormat="1" x14ac:dyDescent="0.2">
      <c r="A18" s="20" t="s">
        <v>148</v>
      </c>
      <c r="B18" s="20"/>
      <c r="C18" s="21">
        <v>25</v>
      </c>
      <c r="D18" s="20"/>
      <c r="E18" s="21">
        <v>25</v>
      </c>
    </row>
    <row r="19" spans="1:6" s="24" customFormat="1" x14ac:dyDescent="0.2">
      <c r="A19" s="20" t="s">
        <v>147</v>
      </c>
      <c r="B19" s="20"/>
      <c r="C19" s="21">
        <v>25</v>
      </c>
      <c r="D19" s="20"/>
      <c r="E19" s="21">
        <v>25</v>
      </c>
    </row>
    <row r="20" spans="1:6" s="24" customFormat="1" x14ac:dyDescent="0.2">
      <c r="A20" s="20" t="s">
        <v>146</v>
      </c>
      <c r="B20" s="20"/>
      <c r="C20" s="21">
        <v>25</v>
      </c>
      <c r="D20" s="20"/>
      <c r="E20" s="21">
        <v>25</v>
      </c>
    </row>
    <row r="21" spans="1:6" s="24" customFormat="1" x14ac:dyDescent="0.2">
      <c r="A21" s="20" t="s">
        <v>63</v>
      </c>
      <c r="B21" s="20"/>
      <c r="C21" s="21">
        <v>7.95</v>
      </c>
      <c r="D21" s="20"/>
      <c r="E21" s="21">
        <v>7.95</v>
      </c>
    </row>
    <row r="22" spans="1:6" s="24" customFormat="1" x14ac:dyDescent="0.2">
      <c r="A22" s="20" t="s">
        <v>66</v>
      </c>
      <c r="B22" s="20"/>
      <c r="C22" s="21">
        <v>28</v>
      </c>
      <c r="D22" s="20"/>
      <c r="E22" s="21"/>
    </row>
    <row r="23" spans="1:6" s="24" customFormat="1" x14ac:dyDescent="0.2">
      <c r="A23" s="29"/>
      <c r="B23" s="29"/>
      <c r="C23" s="30"/>
      <c r="D23" s="29"/>
      <c r="E23" s="30"/>
    </row>
    <row r="24" spans="1:6" s="26" customFormat="1" x14ac:dyDescent="0.2">
      <c r="A24" s="32" t="s">
        <v>13</v>
      </c>
      <c r="B24" s="25"/>
      <c r="C24" s="27"/>
      <c r="D24" s="25"/>
      <c r="E24" s="27"/>
    </row>
    <row r="25" spans="1:6" s="26" customFormat="1" x14ac:dyDescent="0.2">
      <c r="A25" s="20" t="s">
        <v>72</v>
      </c>
      <c r="B25" s="20"/>
      <c r="C25" s="21">
        <v>488.22</v>
      </c>
      <c r="D25" s="20"/>
      <c r="E25" s="21">
        <v>488.22</v>
      </c>
    </row>
    <row r="26" spans="1:6" s="24" customFormat="1" x14ac:dyDescent="0.2">
      <c r="A26" s="20" t="s">
        <v>79</v>
      </c>
      <c r="B26" s="20"/>
      <c r="C26" s="21">
        <v>138.55000000000001</v>
      </c>
      <c r="D26" s="20"/>
      <c r="E26" s="21">
        <v>138.55000000000001</v>
      </c>
      <c r="F26" s="34"/>
    </row>
    <row r="27" spans="1:6" s="24" customFormat="1" x14ac:dyDescent="0.2">
      <c r="A27" s="20" t="s">
        <v>73</v>
      </c>
      <c r="B27" s="20"/>
      <c r="C27" s="21">
        <v>311.55</v>
      </c>
      <c r="D27" s="20"/>
      <c r="E27" s="21">
        <v>311.55</v>
      </c>
      <c r="F27" s="34"/>
    </row>
    <row r="28" spans="1:6" s="24" customFormat="1" x14ac:dyDescent="0.2">
      <c r="A28" s="20" t="s">
        <v>75</v>
      </c>
      <c r="B28" s="20"/>
      <c r="C28" s="21">
        <v>256.22000000000003</v>
      </c>
      <c r="D28" s="20"/>
      <c r="E28" s="21">
        <v>135.30000000000001</v>
      </c>
      <c r="F28" s="34"/>
    </row>
    <row r="29" spans="1:6" s="24" customFormat="1" x14ac:dyDescent="0.2">
      <c r="A29" s="20" t="s">
        <v>76</v>
      </c>
      <c r="B29" s="20"/>
      <c r="C29" s="21">
        <v>14.99</v>
      </c>
      <c r="D29" s="20"/>
      <c r="E29" s="21">
        <v>14.99</v>
      </c>
    </row>
    <row r="30" spans="1:6" s="24" customFormat="1" x14ac:dyDescent="0.2">
      <c r="A30" s="20" t="s">
        <v>77</v>
      </c>
      <c r="B30" s="20"/>
      <c r="C30" s="21">
        <v>200</v>
      </c>
      <c r="D30" s="20"/>
      <c r="E30" s="21"/>
    </row>
    <row r="31" spans="1:6" s="24" customFormat="1" x14ac:dyDescent="0.2">
      <c r="A31" s="20" t="s">
        <v>78</v>
      </c>
      <c r="B31" s="20"/>
      <c r="C31" s="21">
        <v>132.16</v>
      </c>
      <c r="D31" s="20"/>
      <c r="E31" s="21">
        <v>132</v>
      </c>
    </row>
    <row r="32" spans="1:6" s="26" customFormat="1" x14ac:dyDescent="0.2">
      <c r="A32" s="14"/>
      <c r="B32" s="14"/>
      <c r="C32" s="14"/>
      <c r="D32" s="14"/>
      <c r="E32" s="14"/>
      <c r="F32" s="35"/>
    </row>
    <row r="35" spans="1:3" x14ac:dyDescent="0.2">
      <c r="A35" s="24" t="s">
        <v>162</v>
      </c>
      <c r="B35" s="41" t="s">
        <v>160</v>
      </c>
      <c r="C35" s="45" t="s">
        <v>161</v>
      </c>
    </row>
    <row r="36" spans="1:3" x14ac:dyDescent="0.2">
      <c r="A36" s="24" t="s">
        <v>163</v>
      </c>
      <c r="B36" s="41" t="s">
        <v>160</v>
      </c>
      <c r="C36" s="45" t="s">
        <v>164</v>
      </c>
    </row>
    <row r="37" spans="1:3" x14ac:dyDescent="0.2">
      <c r="A37" s="26" t="s">
        <v>165</v>
      </c>
      <c r="B37" s="44" t="s">
        <v>160</v>
      </c>
      <c r="C37" s="46" t="s">
        <v>166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40"/>
  <sheetViews>
    <sheetView topLeftCell="A4" workbookViewId="0">
      <selection activeCell="A37" sqref="A37:A40"/>
    </sheetView>
  </sheetViews>
  <sheetFormatPr baseColWidth="10" defaultColWidth="8.83203125" defaultRowHeight="15" x14ac:dyDescent="0.2"/>
  <cols>
    <col min="1" max="1" width="40.5" bestFit="1" customWidth="1"/>
    <col min="3" max="3" width="22.6640625" bestFit="1" customWidth="1"/>
    <col min="4" max="4" width="9.33203125" bestFit="1" customWidth="1"/>
    <col min="5" max="5" width="21.1640625" bestFit="1" customWidth="1"/>
    <col min="6" max="6" width="17.5" bestFit="1" customWidth="1"/>
  </cols>
  <sheetData>
    <row r="1" spans="1:6" ht="21" x14ac:dyDescent="0.25">
      <c r="A1" s="1" t="s">
        <v>150</v>
      </c>
    </row>
    <row r="2" spans="1:6" x14ac:dyDescent="0.2">
      <c r="C2" s="144"/>
      <c r="D2" s="144"/>
    </row>
    <row r="3" spans="1:6" x14ac:dyDescent="0.2">
      <c r="A3" s="17" t="s">
        <v>22</v>
      </c>
      <c r="B3" s="4"/>
      <c r="C3" s="5"/>
      <c r="D3" s="18" t="s">
        <v>24</v>
      </c>
      <c r="E3" s="4"/>
      <c r="F3" s="6" t="s">
        <v>23</v>
      </c>
    </row>
    <row r="4" spans="1:6" s="24" customFormat="1" x14ac:dyDescent="0.2">
      <c r="A4" s="20" t="s">
        <v>151</v>
      </c>
      <c r="B4" s="20"/>
      <c r="C4" s="22"/>
      <c r="D4" s="22">
        <v>887.74</v>
      </c>
      <c r="E4" s="22"/>
      <c r="F4" s="22"/>
    </row>
    <row r="5" spans="1:6" s="24" customFormat="1" x14ac:dyDescent="0.2">
      <c r="A5" s="20" t="s">
        <v>152</v>
      </c>
      <c r="B5" s="20"/>
      <c r="C5" s="23"/>
      <c r="D5" s="22">
        <v>551.52</v>
      </c>
      <c r="E5" s="20"/>
      <c r="F5" s="22"/>
    </row>
    <row r="6" spans="1:6" s="24" customFormat="1" x14ac:dyDescent="0.2">
      <c r="A6" s="20" t="s">
        <v>153</v>
      </c>
      <c r="B6" s="20"/>
      <c r="C6" s="22"/>
      <c r="D6" s="22">
        <v>940.1</v>
      </c>
      <c r="E6" s="22"/>
      <c r="F6" s="22"/>
    </row>
    <row r="7" spans="1:6" s="24" customFormat="1" x14ac:dyDescent="0.2">
      <c r="A7" s="20" t="s">
        <v>154</v>
      </c>
      <c r="B7" s="20"/>
      <c r="C7" s="20"/>
      <c r="D7" s="22">
        <v>590.47</v>
      </c>
      <c r="E7" s="20"/>
      <c r="F7" s="22"/>
    </row>
    <row r="8" spans="1:6" s="26" customFormat="1" x14ac:dyDescent="0.2">
      <c r="A8" s="25"/>
      <c r="B8" s="25"/>
      <c r="C8" s="25"/>
      <c r="D8" s="25"/>
      <c r="E8" s="25"/>
      <c r="F8" s="33"/>
    </row>
    <row r="9" spans="1:6" s="26" customFormat="1" x14ac:dyDescent="0.2">
      <c r="D9" s="42">
        <f>D4+D5+D6+D7</f>
        <v>2969.83</v>
      </c>
      <c r="F9" s="42">
        <f>F4+F5+F6+F7+F8</f>
        <v>0</v>
      </c>
    </row>
    <row r="10" spans="1:6" s="26" customFormat="1" x14ac:dyDescent="0.2">
      <c r="A10" s="43"/>
      <c r="B10" s="43"/>
      <c r="C10" s="43"/>
      <c r="D10" s="43"/>
      <c r="E10" s="43"/>
    </row>
    <row r="11" spans="1:6" s="26" customFormat="1" x14ac:dyDescent="0.2">
      <c r="A11" s="43"/>
      <c r="B11" s="43"/>
      <c r="C11" s="43"/>
      <c r="D11" s="43"/>
      <c r="E11" s="43"/>
    </row>
    <row r="12" spans="1:6" s="26" customFormat="1" x14ac:dyDescent="0.2">
      <c r="A12" s="32" t="s">
        <v>1</v>
      </c>
      <c r="B12" s="25"/>
      <c r="C12" s="32" t="s">
        <v>2</v>
      </c>
      <c r="D12" s="25"/>
      <c r="E12" s="32" t="s">
        <v>3</v>
      </c>
    </row>
    <row r="13" spans="1:6" s="26" customFormat="1" x14ac:dyDescent="0.2">
      <c r="A13" s="32" t="s">
        <v>12</v>
      </c>
      <c r="B13" s="25"/>
      <c r="C13" s="32"/>
      <c r="D13" s="25"/>
      <c r="E13" s="32"/>
    </row>
    <row r="14" spans="1:6" s="24" customFormat="1" x14ac:dyDescent="0.2">
      <c r="A14" s="20" t="s">
        <v>60</v>
      </c>
      <c r="B14" s="20"/>
      <c r="C14" s="20">
        <v>100</v>
      </c>
      <c r="D14" s="20"/>
      <c r="E14" s="20">
        <v>100</v>
      </c>
    </row>
    <row r="15" spans="1:6" s="24" customFormat="1" x14ac:dyDescent="0.2">
      <c r="A15" s="20" t="s">
        <v>59</v>
      </c>
      <c r="B15" s="20"/>
      <c r="C15" s="21">
        <v>787.74</v>
      </c>
      <c r="D15" s="20"/>
      <c r="E15" s="21">
        <v>787.74</v>
      </c>
      <c r="F15" s="34"/>
    </row>
    <row r="16" spans="1:6" s="24" customFormat="1" x14ac:dyDescent="0.2">
      <c r="A16" s="20" t="s">
        <v>61</v>
      </c>
      <c r="B16" s="20"/>
      <c r="C16" s="21">
        <v>356.1</v>
      </c>
      <c r="D16" s="20"/>
      <c r="E16" s="21">
        <v>356.1</v>
      </c>
      <c r="F16" s="34"/>
    </row>
    <row r="17" spans="1:6" s="24" customFormat="1" x14ac:dyDescent="0.2">
      <c r="A17" s="20" t="s">
        <v>62</v>
      </c>
      <c r="B17" s="20"/>
      <c r="C17" s="21">
        <v>45</v>
      </c>
      <c r="D17" s="20"/>
      <c r="E17" s="21">
        <v>45</v>
      </c>
    </row>
    <row r="18" spans="1:6" s="24" customFormat="1" x14ac:dyDescent="0.2">
      <c r="A18" s="20" t="s">
        <v>148</v>
      </c>
      <c r="B18" s="20"/>
      <c r="C18" s="21">
        <v>25</v>
      </c>
      <c r="D18" s="20"/>
      <c r="E18" s="21">
        <v>25</v>
      </c>
    </row>
    <row r="19" spans="1:6" s="24" customFormat="1" x14ac:dyDescent="0.2">
      <c r="A19" s="20" t="s">
        <v>147</v>
      </c>
      <c r="B19" s="20"/>
      <c r="C19" s="21">
        <v>25</v>
      </c>
      <c r="D19" s="20"/>
      <c r="E19" s="21">
        <v>25</v>
      </c>
    </row>
    <row r="20" spans="1:6" s="24" customFormat="1" x14ac:dyDescent="0.2">
      <c r="A20" s="20" t="s">
        <v>146</v>
      </c>
      <c r="B20" s="20"/>
      <c r="C20" s="21">
        <v>25</v>
      </c>
      <c r="D20" s="20"/>
      <c r="E20" s="21">
        <v>25</v>
      </c>
    </row>
    <row r="21" spans="1:6" s="24" customFormat="1" x14ac:dyDescent="0.2">
      <c r="A21" s="20" t="s">
        <v>63</v>
      </c>
      <c r="B21" s="20"/>
      <c r="C21" s="21">
        <v>7.95</v>
      </c>
      <c r="D21" s="20"/>
      <c r="E21" s="21">
        <v>7.95</v>
      </c>
    </row>
    <row r="22" spans="1:6" s="24" customFormat="1" x14ac:dyDescent="0.2">
      <c r="A22" s="20" t="s">
        <v>64</v>
      </c>
      <c r="B22" s="20"/>
      <c r="C22" s="21">
        <v>7.47</v>
      </c>
      <c r="D22" s="20"/>
      <c r="E22" s="21">
        <v>7.47</v>
      </c>
    </row>
    <row r="23" spans="1:6" s="24" customFormat="1" x14ac:dyDescent="0.2">
      <c r="A23" s="20" t="s">
        <v>66</v>
      </c>
      <c r="B23" s="20"/>
      <c r="C23" s="21">
        <v>60</v>
      </c>
      <c r="D23" s="20"/>
      <c r="E23" s="21">
        <v>81</v>
      </c>
    </row>
    <row r="24" spans="1:6" s="26" customFormat="1" x14ac:dyDescent="0.2">
      <c r="A24" s="29"/>
      <c r="B24" s="29"/>
      <c r="C24" s="30"/>
      <c r="D24" s="29"/>
      <c r="E24" s="30"/>
    </row>
    <row r="25" spans="1:6" s="26" customFormat="1" x14ac:dyDescent="0.2">
      <c r="A25" s="32" t="s">
        <v>13</v>
      </c>
      <c r="B25" s="25"/>
      <c r="C25" s="27"/>
      <c r="D25" s="25"/>
      <c r="E25" s="27"/>
    </row>
    <row r="26" spans="1:6" s="24" customFormat="1" x14ac:dyDescent="0.2">
      <c r="A26" s="20" t="s">
        <v>72</v>
      </c>
      <c r="B26" s="20"/>
      <c r="C26" s="21">
        <v>488.22</v>
      </c>
      <c r="D26" s="20"/>
      <c r="E26" s="21">
        <v>488.22</v>
      </c>
      <c r="F26" s="34"/>
    </row>
    <row r="27" spans="1:6" s="24" customFormat="1" x14ac:dyDescent="0.2">
      <c r="A27" s="20" t="s">
        <v>79</v>
      </c>
      <c r="B27" s="20"/>
      <c r="C27" s="21">
        <v>138.55000000000001</v>
      </c>
      <c r="D27" s="20"/>
      <c r="E27" s="21">
        <v>138.55000000000001</v>
      </c>
      <c r="F27" s="34"/>
    </row>
    <row r="28" spans="1:6" s="24" customFormat="1" x14ac:dyDescent="0.2">
      <c r="A28" s="20" t="s">
        <v>73</v>
      </c>
      <c r="B28" s="20"/>
      <c r="C28" s="21">
        <v>311.55</v>
      </c>
      <c r="D28" s="20"/>
      <c r="E28" s="21">
        <v>311.55</v>
      </c>
      <c r="F28" s="34"/>
    </row>
    <row r="29" spans="1:6" s="24" customFormat="1" x14ac:dyDescent="0.2">
      <c r="A29" s="20" t="s">
        <v>75</v>
      </c>
      <c r="B29" s="20"/>
      <c r="C29" s="21">
        <v>256.22000000000003</v>
      </c>
      <c r="D29" s="20"/>
      <c r="E29" s="21">
        <v>135.30000000000001</v>
      </c>
    </row>
    <row r="30" spans="1:6" s="24" customFormat="1" x14ac:dyDescent="0.2">
      <c r="A30" s="20" t="s">
        <v>76</v>
      </c>
      <c r="B30" s="20"/>
      <c r="C30" s="21">
        <v>14.99</v>
      </c>
      <c r="D30" s="20"/>
      <c r="E30" s="21">
        <v>14.99</v>
      </c>
    </row>
    <row r="31" spans="1:6" s="24" customFormat="1" x14ac:dyDescent="0.2">
      <c r="A31" s="20" t="s">
        <v>77</v>
      </c>
      <c r="B31" s="20"/>
      <c r="C31" s="21">
        <v>187</v>
      </c>
      <c r="D31" s="20"/>
      <c r="E31" s="21">
        <v>187.54</v>
      </c>
    </row>
    <row r="32" spans="1:6" s="24" customFormat="1" x14ac:dyDescent="0.2">
      <c r="A32" s="20" t="s">
        <v>78</v>
      </c>
      <c r="B32" s="20"/>
      <c r="C32" s="21">
        <v>132.16</v>
      </c>
      <c r="D32" s="20"/>
      <c r="E32" s="21">
        <v>132</v>
      </c>
      <c r="F32" s="37"/>
    </row>
    <row r="33" spans="1:5" x14ac:dyDescent="0.2">
      <c r="A33" s="14"/>
      <c r="B33" s="14"/>
      <c r="C33" s="14"/>
      <c r="D33" s="14"/>
      <c r="E33" s="14"/>
    </row>
    <row r="37" spans="1:5" x14ac:dyDescent="0.2">
      <c r="A37" s="24">
        <v>565.33000000000004</v>
      </c>
    </row>
    <row r="38" spans="1:5" x14ac:dyDescent="0.2">
      <c r="A38" s="24">
        <v>881.49</v>
      </c>
    </row>
    <row r="39" spans="1:5" x14ac:dyDescent="0.2">
      <c r="A39" s="26">
        <v>78.8</v>
      </c>
    </row>
    <row r="40" spans="1:5" x14ac:dyDescent="0.2">
      <c r="A40" s="26">
        <v>403.33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I40"/>
  <sheetViews>
    <sheetView topLeftCell="A4" workbookViewId="0">
      <selection activeCell="A30" sqref="A30:XFD30"/>
    </sheetView>
  </sheetViews>
  <sheetFormatPr baseColWidth="10" defaultColWidth="8.83203125" defaultRowHeight="15" x14ac:dyDescent="0.2"/>
  <cols>
    <col min="1" max="1" width="40.5" bestFit="1" customWidth="1"/>
    <col min="2" max="2" width="12.1640625" bestFit="1" customWidth="1"/>
    <col min="3" max="3" width="23.33203125" bestFit="1" customWidth="1"/>
    <col min="4" max="4" width="9.33203125" bestFit="1" customWidth="1"/>
    <col min="5" max="5" width="21.83203125" bestFit="1" customWidth="1"/>
    <col min="6" max="6" width="18.5" bestFit="1" customWidth="1"/>
    <col min="7" max="8" width="11" customWidth="1"/>
    <col min="9" max="9" width="11.6640625" bestFit="1" customWidth="1"/>
    <col min="10" max="10" width="28" bestFit="1" customWidth="1"/>
    <col min="11" max="11" width="10" bestFit="1" customWidth="1"/>
    <col min="12" max="12" width="50" bestFit="1" customWidth="1"/>
  </cols>
  <sheetData>
    <row r="1" spans="1:11" ht="21" x14ac:dyDescent="0.25">
      <c r="A1" s="1" t="s">
        <v>140</v>
      </c>
    </row>
    <row r="2" spans="1:11" x14ac:dyDescent="0.2">
      <c r="C2" s="144"/>
      <c r="D2" s="144"/>
    </row>
    <row r="3" spans="1:11" x14ac:dyDescent="0.2">
      <c r="A3" s="17" t="s">
        <v>141</v>
      </c>
      <c r="B3" s="4"/>
      <c r="C3" s="5"/>
      <c r="D3" s="18" t="s">
        <v>24</v>
      </c>
      <c r="E3" s="4"/>
      <c r="F3" s="6" t="s">
        <v>23</v>
      </c>
      <c r="I3" s="24"/>
    </row>
    <row r="4" spans="1:11" s="24" customFormat="1" x14ac:dyDescent="0.2">
      <c r="A4" s="20" t="s">
        <v>142</v>
      </c>
      <c r="B4" s="20"/>
      <c r="C4" s="22"/>
      <c r="D4" s="22">
        <v>880.74</v>
      </c>
      <c r="E4" s="22"/>
      <c r="F4" s="22">
        <v>223.6</v>
      </c>
    </row>
    <row r="5" spans="1:11" s="24" customFormat="1" x14ac:dyDescent="0.2">
      <c r="A5" s="20" t="s">
        <v>143</v>
      </c>
      <c r="B5" s="20"/>
      <c r="C5" s="23"/>
      <c r="D5" s="22">
        <v>527.52</v>
      </c>
      <c r="E5" s="20"/>
      <c r="F5" s="22">
        <v>785.64</v>
      </c>
      <c r="G5" s="24">
        <v>505.64</v>
      </c>
    </row>
    <row r="6" spans="1:11" s="24" customFormat="1" x14ac:dyDescent="0.2">
      <c r="A6" s="20" t="s">
        <v>144</v>
      </c>
      <c r="B6" s="20"/>
      <c r="C6" s="22"/>
      <c r="D6" s="22">
        <v>907.52</v>
      </c>
      <c r="E6" s="22"/>
      <c r="F6" s="22">
        <v>196.82</v>
      </c>
    </row>
    <row r="7" spans="1:11" s="24" customFormat="1" x14ac:dyDescent="0.2">
      <c r="A7" s="20" t="s">
        <v>145</v>
      </c>
      <c r="B7" s="20"/>
      <c r="C7" s="20"/>
      <c r="D7" s="22">
        <v>590.91</v>
      </c>
      <c r="E7" s="20"/>
      <c r="F7" s="22">
        <v>709.09</v>
      </c>
      <c r="G7" s="24">
        <v>429.09</v>
      </c>
    </row>
    <row r="8" spans="1:11" s="26" customFormat="1" x14ac:dyDescent="0.2">
      <c r="A8" s="25"/>
      <c r="B8" s="25"/>
      <c r="C8" s="25"/>
      <c r="D8" s="25"/>
      <c r="E8" s="25"/>
      <c r="F8" s="33"/>
    </row>
    <row r="9" spans="1:11" x14ac:dyDescent="0.2">
      <c r="D9" s="19">
        <f>D4+D5+D6+D7</f>
        <v>2906.6899999999996</v>
      </c>
      <c r="F9" s="19">
        <f>F4+F5+F6+F7+F8</f>
        <v>1915.15</v>
      </c>
      <c r="I9" s="24"/>
    </row>
    <row r="10" spans="1:11" x14ac:dyDescent="0.2">
      <c r="A10" s="2"/>
      <c r="B10" s="2"/>
      <c r="C10" s="2"/>
      <c r="D10" s="2"/>
      <c r="E10" s="2"/>
    </row>
    <row r="11" spans="1:11" x14ac:dyDescent="0.2">
      <c r="A11" s="2"/>
      <c r="B11" s="2"/>
      <c r="C11" s="2"/>
      <c r="D11" s="2"/>
      <c r="E11" s="2"/>
    </row>
    <row r="12" spans="1:11" x14ac:dyDescent="0.2">
      <c r="A12" s="3" t="s">
        <v>1</v>
      </c>
      <c r="B12" s="4"/>
      <c r="C12" s="3" t="s">
        <v>2</v>
      </c>
      <c r="D12" s="4"/>
      <c r="E12" s="3" t="s">
        <v>3</v>
      </c>
    </row>
    <row r="13" spans="1:11" x14ac:dyDescent="0.2">
      <c r="A13" s="3" t="s">
        <v>12</v>
      </c>
      <c r="B13" s="4"/>
      <c r="C13" s="3"/>
      <c r="D13" s="4"/>
      <c r="E13" s="3"/>
      <c r="J13" s="39"/>
      <c r="K13" s="40"/>
    </row>
    <row r="14" spans="1:11" s="24" customFormat="1" x14ac:dyDescent="0.2">
      <c r="A14" s="20" t="s">
        <v>60</v>
      </c>
      <c r="B14" s="20"/>
      <c r="C14" s="20">
        <v>93</v>
      </c>
      <c r="D14" s="20"/>
      <c r="E14" s="20">
        <v>93</v>
      </c>
      <c r="H14" s="24">
        <v>316.74</v>
      </c>
    </row>
    <row r="15" spans="1:11" s="24" customFormat="1" x14ac:dyDescent="0.2">
      <c r="A15" s="20" t="s">
        <v>59</v>
      </c>
      <c r="B15" s="20"/>
      <c r="C15" s="21">
        <v>787.74</v>
      </c>
      <c r="D15" s="20"/>
      <c r="E15" s="21">
        <v>787.74</v>
      </c>
      <c r="F15" s="34"/>
      <c r="H15" s="24">
        <v>201.57</v>
      </c>
    </row>
    <row r="16" spans="1:11" s="24" customFormat="1" x14ac:dyDescent="0.2">
      <c r="A16" s="20" t="s">
        <v>61</v>
      </c>
      <c r="B16" s="20"/>
      <c r="C16" s="21">
        <v>356.1</v>
      </c>
      <c r="D16" s="20"/>
      <c r="E16" s="21">
        <v>356.1</v>
      </c>
      <c r="F16" s="34"/>
    </row>
    <row r="17" spans="1:399" s="24" customFormat="1" x14ac:dyDescent="0.2">
      <c r="A17" s="20" t="s">
        <v>62</v>
      </c>
      <c r="B17" s="20"/>
      <c r="C17" s="21">
        <v>45</v>
      </c>
      <c r="D17" s="20"/>
      <c r="E17" s="21">
        <v>45</v>
      </c>
    </row>
    <row r="18" spans="1:399" s="24" customFormat="1" x14ac:dyDescent="0.2">
      <c r="A18" s="20" t="s">
        <v>148</v>
      </c>
      <c r="B18" s="20"/>
      <c r="C18" s="21">
        <v>25</v>
      </c>
      <c r="D18" s="20"/>
      <c r="E18" s="21">
        <v>25</v>
      </c>
    </row>
    <row r="19" spans="1:399" s="24" customFormat="1" x14ac:dyDescent="0.2">
      <c r="A19" s="20" t="s">
        <v>147</v>
      </c>
      <c r="B19" s="20"/>
      <c r="C19" s="21">
        <v>25</v>
      </c>
      <c r="D19" s="20"/>
      <c r="E19" s="21">
        <v>25</v>
      </c>
    </row>
    <row r="20" spans="1:399" s="24" customFormat="1" x14ac:dyDescent="0.2">
      <c r="A20" s="20" t="s">
        <v>146</v>
      </c>
      <c r="B20" s="20"/>
      <c r="C20" s="21">
        <v>25</v>
      </c>
      <c r="D20" s="20"/>
      <c r="E20" s="21">
        <v>25</v>
      </c>
    </row>
    <row r="21" spans="1:399" s="24" customFormat="1" x14ac:dyDescent="0.2">
      <c r="A21" s="20" t="s">
        <v>63</v>
      </c>
      <c r="B21" s="20"/>
      <c r="C21" s="21">
        <v>7.95</v>
      </c>
      <c r="D21" s="20"/>
      <c r="E21" s="21">
        <v>7.95</v>
      </c>
    </row>
    <row r="22" spans="1:399" s="24" customFormat="1" x14ac:dyDescent="0.2">
      <c r="A22" s="20" t="s">
        <v>64</v>
      </c>
      <c r="B22" s="20"/>
      <c r="C22" s="21">
        <v>7.47</v>
      </c>
      <c r="D22" s="20"/>
      <c r="E22" s="21">
        <v>7.47</v>
      </c>
      <c r="K22" s="41"/>
    </row>
    <row r="23" spans="1:399" s="24" customFormat="1" x14ac:dyDescent="0.2">
      <c r="A23" s="20" t="s">
        <v>66</v>
      </c>
      <c r="B23" s="20"/>
      <c r="C23" s="21">
        <v>86</v>
      </c>
      <c r="D23" s="20"/>
      <c r="E23" s="21">
        <v>81</v>
      </c>
    </row>
    <row r="24" spans="1:399" s="31" customFormat="1" x14ac:dyDescent="0.2">
      <c r="A24" s="29"/>
      <c r="B24" s="29"/>
      <c r="C24" s="30"/>
      <c r="D24" s="29"/>
      <c r="E24" s="30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6"/>
      <c r="LG24" s="26"/>
      <c r="LH24" s="26"/>
      <c r="LI24" s="26"/>
      <c r="LJ24" s="26"/>
      <c r="LK24" s="26"/>
      <c r="LL24" s="26"/>
      <c r="LM24" s="26"/>
      <c r="LN24" s="26"/>
      <c r="LO24" s="26"/>
      <c r="LP24" s="26"/>
      <c r="LQ24" s="26"/>
      <c r="LR24" s="26"/>
      <c r="LS24" s="26"/>
      <c r="LT24" s="26"/>
      <c r="LU24" s="26"/>
      <c r="LV24" s="26"/>
      <c r="LW24" s="26"/>
      <c r="LX24" s="26"/>
      <c r="LY24" s="26"/>
      <c r="LZ24" s="26"/>
      <c r="MA24" s="26"/>
      <c r="MB24" s="26"/>
      <c r="MC24" s="26"/>
      <c r="MD24" s="26"/>
      <c r="ME24" s="26"/>
      <c r="MF24" s="26"/>
      <c r="MG24" s="26"/>
      <c r="MH24" s="26"/>
      <c r="MI24" s="26"/>
      <c r="MJ24" s="26"/>
      <c r="MK24" s="26"/>
      <c r="ML24" s="26"/>
      <c r="MM24" s="26"/>
      <c r="MN24" s="26"/>
      <c r="MO24" s="26"/>
      <c r="MP24" s="26"/>
      <c r="MQ24" s="26"/>
      <c r="MR24" s="26"/>
      <c r="MS24" s="26"/>
      <c r="MT24" s="26"/>
      <c r="MU24" s="26"/>
      <c r="MV24" s="26"/>
      <c r="MW24" s="26"/>
      <c r="MX24" s="26"/>
      <c r="MY24" s="26"/>
      <c r="MZ24" s="26"/>
      <c r="NA24" s="26"/>
      <c r="NB24" s="26"/>
      <c r="NC24" s="26"/>
      <c r="ND24" s="26"/>
      <c r="NE24" s="26"/>
      <c r="NF24" s="26"/>
      <c r="NG24" s="26"/>
      <c r="NH24" s="26"/>
      <c r="NI24" s="26"/>
      <c r="NJ24" s="26"/>
      <c r="NK24" s="26"/>
      <c r="NL24" s="26"/>
      <c r="NM24" s="26"/>
      <c r="NN24" s="26"/>
      <c r="NO24" s="26"/>
      <c r="NP24" s="26"/>
      <c r="NQ24" s="26"/>
      <c r="NR24" s="26"/>
      <c r="NS24" s="26"/>
      <c r="NT24" s="26"/>
      <c r="NU24" s="26"/>
      <c r="NV24" s="26"/>
      <c r="NW24" s="26"/>
      <c r="NX24" s="26"/>
      <c r="NY24" s="26"/>
      <c r="NZ24" s="26"/>
      <c r="OA24" s="26"/>
      <c r="OB24" s="26"/>
      <c r="OC24" s="26"/>
      <c r="OD24" s="26"/>
      <c r="OE24" s="26"/>
      <c r="OF24" s="26"/>
      <c r="OG24" s="26"/>
      <c r="OH24" s="26"/>
      <c r="OI24" s="26"/>
    </row>
    <row r="25" spans="1:399" s="26" customFormat="1" x14ac:dyDescent="0.2">
      <c r="A25" s="32" t="s">
        <v>13</v>
      </c>
      <c r="B25" s="25"/>
      <c r="C25" s="27"/>
      <c r="D25" s="25"/>
      <c r="E25" s="27"/>
    </row>
    <row r="26" spans="1:399" s="24" customFormat="1" x14ac:dyDescent="0.2">
      <c r="A26" s="20" t="s">
        <v>72</v>
      </c>
      <c r="B26" s="20"/>
      <c r="C26" s="21">
        <v>457.42</v>
      </c>
      <c r="D26" s="20"/>
      <c r="E26" s="21">
        <v>457.42</v>
      </c>
      <c r="F26" s="34"/>
    </row>
    <row r="27" spans="1:399" s="24" customFormat="1" x14ac:dyDescent="0.2">
      <c r="A27" s="20" t="s">
        <v>79</v>
      </c>
      <c r="B27" s="20"/>
      <c r="C27" s="21">
        <v>138.55000000000001</v>
      </c>
      <c r="D27" s="20"/>
      <c r="E27" s="21">
        <v>138.55000000000001</v>
      </c>
      <c r="F27" s="34"/>
    </row>
    <row r="28" spans="1:399" s="24" customFormat="1" x14ac:dyDescent="0.2">
      <c r="A28" s="20" t="s">
        <v>73</v>
      </c>
      <c r="B28" s="20"/>
      <c r="C28" s="21">
        <v>311.55</v>
      </c>
      <c r="D28" s="20"/>
      <c r="E28" s="21">
        <v>311.55</v>
      </c>
      <c r="F28" s="34"/>
    </row>
    <row r="29" spans="1:399" s="24" customFormat="1" x14ac:dyDescent="0.2">
      <c r="A29" s="20" t="s">
        <v>75</v>
      </c>
      <c r="B29" s="20"/>
      <c r="C29" s="21">
        <v>256.22000000000003</v>
      </c>
      <c r="D29" s="20"/>
      <c r="E29" s="21">
        <v>135.30000000000001</v>
      </c>
    </row>
    <row r="30" spans="1:399" s="24" customFormat="1" x14ac:dyDescent="0.2">
      <c r="A30" s="20" t="s">
        <v>76</v>
      </c>
      <c r="B30" s="20"/>
      <c r="C30" s="21">
        <v>14.99</v>
      </c>
      <c r="D30" s="20"/>
      <c r="E30" s="21">
        <v>14.99</v>
      </c>
      <c r="H30" s="24">
        <v>361.74</v>
      </c>
    </row>
    <row r="31" spans="1:399" s="24" customFormat="1" x14ac:dyDescent="0.2">
      <c r="A31" s="20" t="s">
        <v>77</v>
      </c>
      <c r="B31" s="20"/>
      <c r="C31" s="21">
        <v>187.54</v>
      </c>
      <c r="D31" s="20"/>
      <c r="E31" s="21">
        <v>187.54</v>
      </c>
      <c r="H31" s="24">
        <v>201.57</v>
      </c>
    </row>
    <row r="32" spans="1:399" s="24" customFormat="1" x14ac:dyDescent="0.2">
      <c r="A32" s="20" t="s">
        <v>78</v>
      </c>
      <c r="B32" s="20"/>
      <c r="C32" s="21">
        <v>132.16</v>
      </c>
      <c r="D32" s="20"/>
      <c r="E32" s="21">
        <v>132</v>
      </c>
      <c r="F32" s="37"/>
    </row>
    <row r="33" spans="1:9" x14ac:dyDescent="0.2">
      <c r="A33" s="14"/>
      <c r="B33" s="14"/>
      <c r="C33" s="14"/>
      <c r="D33" s="14"/>
      <c r="E33" s="14"/>
    </row>
    <row r="34" spans="1:9" x14ac:dyDescent="0.2">
      <c r="G34" s="24"/>
      <c r="H34" s="24"/>
      <c r="I34" s="24"/>
    </row>
    <row r="36" spans="1:9" x14ac:dyDescent="0.2">
      <c r="A36" s="24"/>
    </row>
    <row r="37" spans="1:9" x14ac:dyDescent="0.2">
      <c r="A37" t="s">
        <v>149</v>
      </c>
    </row>
    <row r="40" spans="1:9" x14ac:dyDescent="0.2">
      <c r="G40" s="26"/>
      <c r="I40" s="26"/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I47"/>
  <sheetViews>
    <sheetView topLeftCell="A10" workbookViewId="0">
      <selection activeCell="A33" sqref="A33:XFD33"/>
    </sheetView>
  </sheetViews>
  <sheetFormatPr baseColWidth="10" defaultColWidth="8.83203125" defaultRowHeight="15" x14ac:dyDescent="0.2"/>
  <cols>
    <col min="1" max="1" width="40.5" bestFit="1" customWidth="1"/>
    <col min="2" max="2" width="12.1640625" bestFit="1" customWidth="1"/>
    <col min="3" max="3" width="23.33203125" bestFit="1" customWidth="1"/>
    <col min="4" max="4" width="9.33203125" bestFit="1" customWidth="1"/>
    <col min="5" max="5" width="21.83203125" bestFit="1" customWidth="1"/>
    <col min="6" max="6" width="18.5" bestFit="1" customWidth="1"/>
    <col min="7" max="8" width="11" customWidth="1"/>
    <col min="9" max="9" width="11.6640625" bestFit="1" customWidth="1"/>
    <col min="10" max="10" width="28" bestFit="1" customWidth="1"/>
    <col min="11" max="11" width="10" bestFit="1" customWidth="1"/>
    <col min="12" max="12" width="50" bestFit="1" customWidth="1"/>
  </cols>
  <sheetData>
    <row r="1" spans="1:12" ht="21" x14ac:dyDescent="0.25">
      <c r="A1" s="1" t="s">
        <v>127</v>
      </c>
    </row>
    <row r="2" spans="1:12" x14ac:dyDescent="0.2">
      <c r="C2" s="144"/>
      <c r="D2" s="144"/>
    </row>
    <row r="3" spans="1:12" x14ac:dyDescent="0.2">
      <c r="A3" s="17" t="s">
        <v>128</v>
      </c>
      <c r="B3" s="4"/>
      <c r="C3" s="5"/>
      <c r="D3" s="18" t="s">
        <v>24</v>
      </c>
      <c r="E3" s="4"/>
      <c r="F3" s="6" t="s">
        <v>23</v>
      </c>
      <c r="I3" s="24"/>
    </row>
    <row r="4" spans="1:12" s="24" customFormat="1" x14ac:dyDescent="0.2">
      <c r="A4" s="20" t="s">
        <v>131</v>
      </c>
      <c r="B4" s="20"/>
      <c r="C4" s="22"/>
      <c r="D4" s="22">
        <v>880.74</v>
      </c>
      <c r="E4" s="22"/>
      <c r="F4" s="22">
        <v>419.26</v>
      </c>
    </row>
    <row r="5" spans="1:12" s="24" customFormat="1" x14ac:dyDescent="0.2">
      <c r="A5" s="20" t="s">
        <v>132</v>
      </c>
      <c r="B5" s="20"/>
      <c r="C5" s="23"/>
      <c r="D5" s="22">
        <v>790.52</v>
      </c>
      <c r="E5" s="20"/>
      <c r="F5" s="22">
        <v>309.48</v>
      </c>
    </row>
    <row r="6" spans="1:12" s="24" customFormat="1" x14ac:dyDescent="0.2">
      <c r="A6" s="20" t="s">
        <v>133</v>
      </c>
      <c r="B6" s="20"/>
      <c r="C6" s="22"/>
      <c r="D6" s="22">
        <v>1047.52</v>
      </c>
      <c r="E6" s="22"/>
      <c r="F6" s="22">
        <v>252.48</v>
      </c>
    </row>
    <row r="7" spans="1:12" s="26" customFormat="1" x14ac:dyDescent="0.2">
      <c r="A7" s="25" t="s">
        <v>134</v>
      </c>
      <c r="B7" s="25"/>
      <c r="C7" s="25"/>
      <c r="D7" s="33">
        <v>743.37</v>
      </c>
      <c r="E7" s="25"/>
      <c r="F7" s="33">
        <v>356.63</v>
      </c>
    </row>
    <row r="8" spans="1:12" s="26" customFormat="1" x14ac:dyDescent="0.2">
      <c r="A8" s="25"/>
      <c r="B8" s="25"/>
      <c r="C8" s="25"/>
      <c r="D8" s="25"/>
      <c r="E8" s="25"/>
      <c r="F8" s="33"/>
    </row>
    <row r="9" spans="1:12" x14ac:dyDescent="0.2">
      <c r="D9" s="19">
        <f>D4+D5+D6+D7</f>
        <v>3462.1499999999996</v>
      </c>
      <c r="F9" s="19">
        <f>F4+F5+F6+F7+F8</f>
        <v>1337.85</v>
      </c>
      <c r="I9" s="24"/>
    </row>
    <row r="10" spans="1:12" x14ac:dyDescent="0.2">
      <c r="A10" s="2"/>
      <c r="B10" s="2"/>
      <c r="C10" s="2"/>
      <c r="D10" s="2"/>
      <c r="E10" s="2"/>
    </row>
    <row r="11" spans="1:12" x14ac:dyDescent="0.2">
      <c r="A11" s="2"/>
      <c r="B11" s="2"/>
      <c r="C11" s="2"/>
      <c r="D11" s="2"/>
      <c r="E11" s="2"/>
    </row>
    <row r="12" spans="1:12" x14ac:dyDescent="0.2">
      <c r="A12" s="3" t="s">
        <v>1</v>
      </c>
      <c r="B12" s="4"/>
      <c r="C12" s="3" t="s">
        <v>2</v>
      </c>
      <c r="D12" s="4"/>
      <c r="E12" s="3" t="s">
        <v>3</v>
      </c>
    </row>
    <row r="13" spans="1:12" x14ac:dyDescent="0.2">
      <c r="A13" s="3" t="s">
        <v>12</v>
      </c>
      <c r="B13" s="4"/>
      <c r="C13" s="3"/>
      <c r="D13" s="4"/>
      <c r="E13" s="3"/>
      <c r="J13" s="39">
        <v>900.54</v>
      </c>
      <c r="K13" s="40" t="s">
        <v>139</v>
      </c>
      <c r="L13" t="s">
        <v>138</v>
      </c>
    </row>
    <row r="14" spans="1:12" s="24" customFormat="1" x14ac:dyDescent="0.2">
      <c r="A14" s="20" t="s">
        <v>60</v>
      </c>
      <c r="B14" s="20"/>
      <c r="C14" s="20">
        <v>93</v>
      </c>
      <c r="D14" s="20"/>
      <c r="E14" s="20">
        <v>93</v>
      </c>
      <c r="K14" s="24">
        <v>399.46</v>
      </c>
    </row>
    <row r="15" spans="1:12" s="24" customFormat="1" x14ac:dyDescent="0.2">
      <c r="A15" s="20" t="s">
        <v>59</v>
      </c>
      <c r="B15" s="20"/>
      <c r="C15" s="21">
        <v>787.74</v>
      </c>
      <c r="D15" s="20"/>
      <c r="E15" s="21">
        <v>787.74</v>
      </c>
      <c r="F15" s="34"/>
      <c r="K15" s="24">
        <v>200.21</v>
      </c>
    </row>
    <row r="16" spans="1:12" s="24" customFormat="1" x14ac:dyDescent="0.2">
      <c r="A16" s="20" t="s">
        <v>61</v>
      </c>
      <c r="B16" s="20"/>
      <c r="C16" s="21">
        <v>356.1</v>
      </c>
      <c r="D16" s="20"/>
      <c r="E16" s="21">
        <v>356.1</v>
      </c>
      <c r="F16" s="34"/>
      <c r="K16" s="24">
        <v>399.46</v>
      </c>
    </row>
    <row r="17" spans="1:399" s="24" customFormat="1" x14ac:dyDescent="0.2">
      <c r="A17" s="20" t="s">
        <v>62</v>
      </c>
      <c r="B17" s="20"/>
      <c r="C17" s="21">
        <v>45</v>
      </c>
      <c r="D17" s="20"/>
      <c r="E17" s="21">
        <v>45</v>
      </c>
      <c r="K17" s="24">
        <v>200.21</v>
      </c>
    </row>
    <row r="18" spans="1:399" s="24" customFormat="1" x14ac:dyDescent="0.2">
      <c r="A18" s="20" t="s">
        <v>63</v>
      </c>
      <c r="B18" s="20"/>
      <c r="C18" s="21">
        <v>7.95</v>
      </c>
      <c r="D18" s="20"/>
      <c r="E18" s="21">
        <v>7.95</v>
      </c>
    </row>
    <row r="19" spans="1:399" s="24" customFormat="1" x14ac:dyDescent="0.2">
      <c r="A19" s="20" t="s">
        <v>64</v>
      </c>
      <c r="B19" s="20"/>
      <c r="C19" s="21">
        <v>7.47</v>
      </c>
      <c r="D19" s="20"/>
      <c r="E19" s="21">
        <v>7.47</v>
      </c>
      <c r="J19" s="24">
        <v>856.3</v>
      </c>
      <c r="K19" s="41" t="s">
        <v>139</v>
      </c>
      <c r="L19" s="24" t="s">
        <v>137</v>
      </c>
    </row>
    <row r="20" spans="1:399" s="24" customFormat="1" x14ac:dyDescent="0.2">
      <c r="A20" s="20" t="s">
        <v>119</v>
      </c>
      <c r="B20" s="20"/>
      <c r="C20" s="21">
        <v>25</v>
      </c>
      <c r="D20" s="20"/>
      <c r="E20" s="21">
        <v>25</v>
      </c>
      <c r="K20" s="24">
        <v>443.7</v>
      </c>
    </row>
    <row r="21" spans="1:399" s="24" customFormat="1" x14ac:dyDescent="0.2">
      <c r="A21" s="20" t="s">
        <v>118</v>
      </c>
      <c r="B21" s="20"/>
      <c r="C21" s="21">
        <v>25</v>
      </c>
      <c r="D21" s="20"/>
      <c r="E21" s="21">
        <v>25</v>
      </c>
      <c r="F21" s="34"/>
      <c r="K21" s="24">
        <v>243.7</v>
      </c>
    </row>
    <row r="22" spans="1:399" s="24" customFormat="1" x14ac:dyDescent="0.2">
      <c r="A22" s="20" t="s">
        <v>136</v>
      </c>
      <c r="B22" s="20"/>
      <c r="C22" s="21">
        <v>25</v>
      </c>
      <c r="D22" s="20"/>
      <c r="E22" s="21">
        <v>25</v>
      </c>
      <c r="F22" s="34"/>
      <c r="K22" s="24">
        <v>443.7</v>
      </c>
    </row>
    <row r="23" spans="1:399" s="24" customFormat="1" x14ac:dyDescent="0.2">
      <c r="A23" s="20" t="s">
        <v>125</v>
      </c>
      <c r="B23" s="20"/>
      <c r="C23" s="21">
        <v>25</v>
      </c>
      <c r="D23" s="20"/>
      <c r="E23" s="21">
        <v>25</v>
      </c>
      <c r="F23" s="34"/>
      <c r="K23" s="24">
        <v>243.7</v>
      </c>
    </row>
    <row r="24" spans="1:399" s="24" customFormat="1" x14ac:dyDescent="0.2">
      <c r="A24" s="20" t="s">
        <v>135</v>
      </c>
      <c r="B24" s="20"/>
      <c r="C24" s="21">
        <v>25</v>
      </c>
      <c r="D24" s="20"/>
      <c r="E24" s="21">
        <v>25</v>
      </c>
      <c r="F24" s="34"/>
    </row>
    <row r="25" spans="1:399" s="24" customFormat="1" x14ac:dyDescent="0.2">
      <c r="A25" s="20" t="s">
        <v>120</v>
      </c>
      <c r="B25" s="20"/>
      <c r="C25" s="21">
        <v>7</v>
      </c>
      <c r="D25" s="20"/>
      <c r="E25" s="21">
        <v>7</v>
      </c>
    </row>
    <row r="26" spans="1:399" s="24" customFormat="1" x14ac:dyDescent="0.2">
      <c r="A26" s="20" t="s">
        <v>66</v>
      </c>
      <c r="B26" s="20"/>
      <c r="C26" s="21">
        <v>102</v>
      </c>
      <c r="D26" s="20"/>
      <c r="E26" s="21">
        <v>81</v>
      </c>
    </row>
    <row r="27" spans="1:399" s="31" customFormat="1" x14ac:dyDescent="0.2">
      <c r="A27" s="29"/>
      <c r="B27" s="29"/>
      <c r="C27" s="30"/>
      <c r="D27" s="29"/>
      <c r="E27" s="30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  <c r="IX27" s="26"/>
      <c r="IY27" s="26"/>
      <c r="IZ27" s="26"/>
      <c r="JA27" s="26"/>
      <c r="JB27" s="26"/>
      <c r="JC27" s="26"/>
      <c r="JD27" s="26"/>
      <c r="JE27" s="26"/>
      <c r="JF27" s="26"/>
      <c r="JG27" s="26"/>
      <c r="JH27" s="26"/>
      <c r="JI27" s="26"/>
      <c r="JJ27" s="26"/>
      <c r="JK27" s="26"/>
      <c r="JL27" s="26"/>
      <c r="JM27" s="26"/>
      <c r="JN27" s="26"/>
      <c r="JO27" s="26"/>
      <c r="JP27" s="26"/>
      <c r="JQ27" s="26"/>
      <c r="JR27" s="26"/>
      <c r="JS27" s="26"/>
      <c r="JT27" s="26"/>
      <c r="JU27" s="26"/>
      <c r="JV27" s="26"/>
      <c r="JW27" s="26"/>
      <c r="JX27" s="26"/>
      <c r="JY27" s="26"/>
      <c r="JZ27" s="26"/>
      <c r="KA27" s="26"/>
      <c r="KB27" s="26"/>
      <c r="KC27" s="26"/>
      <c r="KD27" s="26"/>
      <c r="KE27" s="26"/>
      <c r="KF27" s="26"/>
      <c r="KG27" s="26"/>
      <c r="KH27" s="26"/>
      <c r="KI27" s="26"/>
      <c r="KJ27" s="26"/>
      <c r="KK27" s="26"/>
      <c r="KL27" s="26"/>
      <c r="KM27" s="26"/>
      <c r="KN27" s="26"/>
      <c r="KO27" s="26"/>
      <c r="KP27" s="26"/>
      <c r="KQ27" s="26"/>
      <c r="KR27" s="26"/>
      <c r="KS27" s="26"/>
      <c r="KT27" s="26"/>
      <c r="KU27" s="26"/>
      <c r="KV27" s="26"/>
      <c r="KW27" s="26"/>
      <c r="KX27" s="26"/>
      <c r="KY27" s="26"/>
      <c r="KZ27" s="26"/>
      <c r="LA27" s="26"/>
      <c r="LB27" s="26"/>
      <c r="LC27" s="26"/>
      <c r="LD27" s="26"/>
      <c r="LE27" s="26"/>
      <c r="LF27" s="26"/>
      <c r="LG27" s="26"/>
      <c r="LH27" s="26"/>
      <c r="LI27" s="26"/>
      <c r="LJ27" s="26"/>
      <c r="LK27" s="26"/>
      <c r="LL27" s="26"/>
      <c r="LM27" s="26"/>
      <c r="LN27" s="26"/>
      <c r="LO27" s="26"/>
      <c r="LP27" s="26"/>
      <c r="LQ27" s="26"/>
      <c r="LR27" s="26"/>
      <c r="LS27" s="26"/>
      <c r="LT27" s="26"/>
      <c r="LU27" s="26"/>
      <c r="LV27" s="26"/>
      <c r="LW27" s="26"/>
      <c r="LX27" s="26"/>
      <c r="LY27" s="26"/>
      <c r="LZ27" s="26"/>
      <c r="MA27" s="26"/>
      <c r="MB27" s="26"/>
      <c r="MC27" s="26"/>
      <c r="MD27" s="26"/>
      <c r="ME27" s="26"/>
      <c r="MF27" s="26"/>
      <c r="MG27" s="26"/>
      <c r="MH27" s="26"/>
      <c r="MI27" s="26"/>
      <c r="MJ27" s="26"/>
      <c r="MK27" s="26"/>
      <c r="ML27" s="26"/>
      <c r="MM27" s="26"/>
      <c r="MN27" s="26"/>
      <c r="MO27" s="26"/>
      <c r="MP27" s="26"/>
      <c r="MQ27" s="26"/>
      <c r="MR27" s="26"/>
      <c r="MS27" s="26"/>
      <c r="MT27" s="26"/>
      <c r="MU27" s="26"/>
      <c r="MV27" s="26"/>
      <c r="MW27" s="26"/>
      <c r="MX27" s="26"/>
      <c r="MY27" s="26"/>
      <c r="MZ27" s="26"/>
      <c r="NA27" s="26"/>
      <c r="NB27" s="26"/>
      <c r="NC27" s="26"/>
      <c r="ND27" s="26"/>
      <c r="NE27" s="26"/>
      <c r="NF27" s="26"/>
      <c r="NG27" s="26"/>
      <c r="NH27" s="26"/>
      <c r="NI27" s="26"/>
      <c r="NJ27" s="26"/>
      <c r="NK27" s="26"/>
      <c r="NL27" s="26"/>
      <c r="NM27" s="26"/>
      <c r="NN27" s="26"/>
      <c r="NO27" s="26"/>
      <c r="NP27" s="26"/>
      <c r="NQ27" s="26"/>
      <c r="NR27" s="26"/>
      <c r="NS27" s="26"/>
      <c r="NT27" s="26"/>
      <c r="NU27" s="26"/>
      <c r="NV27" s="26"/>
      <c r="NW27" s="26"/>
      <c r="NX27" s="26"/>
      <c r="NY27" s="26"/>
      <c r="NZ27" s="26"/>
      <c r="OA27" s="26"/>
      <c r="OB27" s="26"/>
      <c r="OC27" s="26"/>
      <c r="OD27" s="26"/>
      <c r="OE27" s="26"/>
      <c r="OF27" s="26"/>
      <c r="OG27" s="26"/>
      <c r="OH27" s="26"/>
      <c r="OI27" s="26"/>
    </row>
    <row r="28" spans="1:399" s="26" customFormat="1" x14ac:dyDescent="0.2">
      <c r="A28" s="32" t="s">
        <v>13</v>
      </c>
      <c r="B28" s="25"/>
      <c r="C28" s="27"/>
      <c r="D28" s="25"/>
      <c r="E28" s="27"/>
    </row>
    <row r="29" spans="1:399" s="24" customFormat="1" x14ac:dyDescent="0.2">
      <c r="A29" s="20" t="s">
        <v>72</v>
      </c>
      <c r="B29" s="20"/>
      <c r="C29" s="21">
        <v>457.42</v>
      </c>
      <c r="D29" s="20"/>
      <c r="E29" s="21">
        <v>457.42</v>
      </c>
      <c r="F29" s="34"/>
      <c r="J29" s="24">
        <v>1697.62</v>
      </c>
    </row>
    <row r="30" spans="1:399" s="24" customFormat="1" x14ac:dyDescent="0.2">
      <c r="A30" s="20" t="s">
        <v>79</v>
      </c>
      <c r="B30" s="20"/>
      <c r="C30" s="21">
        <v>138.55000000000001</v>
      </c>
      <c r="D30" s="20"/>
      <c r="E30" s="21">
        <v>138.55000000000001</v>
      </c>
      <c r="F30" s="34"/>
      <c r="K30" s="24">
        <v>343.36</v>
      </c>
    </row>
    <row r="31" spans="1:399" s="24" customFormat="1" x14ac:dyDescent="0.2">
      <c r="A31" s="20" t="s">
        <v>73</v>
      </c>
      <c r="B31" s="20"/>
      <c r="C31" s="21">
        <v>311.55</v>
      </c>
      <c r="D31" s="20"/>
      <c r="E31" s="21">
        <v>311.55</v>
      </c>
      <c r="F31" s="34"/>
      <c r="K31" s="24">
        <v>644.15</v>
      </c>
    </row>
    <row r="32" spans="1:399" s="24" customFormat="1" x14ac:dyDescent="0.2">
      <c r="A32" s="20" t="s">
        <v>75</v>
      </c>
      <c r="B32" s="20"/>
      <c r="C32" s="21">
        <v>256.22000000000003</v>
      </c>
      <c r="D32" s="20"/>
      <c r="E32" s="21">
        <v>135.30000000000001</v>
      </c>
    </row>
    <row r="33" spans="1:9" s="24" customFormat="1" x14ac:dyDescent="0.2">
      <c r="A33" s="20" t="s">
        <v>76</v>
      </c>
      <c r="B33" s="20"/>
      <c r="C33" s="21">
        <v>14.99</v>
      </c>
      <c r="D33" s="20"/>
      <c r="E33" s="21">
        <v>14.99</v>
      </c>
    </row>
    <row r="34" spans="1:9" s="24" customFormat="1" x14ac:dyDescent="0.2">
      <c r="A34" s="20" t="s">
        <v>77</v>
      </c>
      <c r="B34" s="20"/>
      <c r="C34" s="21">
        <v>200</v>
      </c>
      <c r="D34" s="20"/>
      <c r="E34" s="21"/>
    </row>
    <row r="35" spans="1:9" s="24" customFormat="1" x14ac:dyDescent="0.2">
      <c r="A35" s="20" t="s">
        <v>78</v>
      </c>
      <c r="B35" s="20"/>
      <c r="C35" s="21">
        <v>132.16</v>
      </c>
      <c r="D35" s="20"/>
      <c r="E35" s="21">
        <v>132</v>
      </c>
      <c r="F35" s="37"/>
    </row>
    <row r="36" spans="1:9" x14ac:dyDescent="0.2">
      <c r="A36" s="10"/>
      <c r="B36" s="10"/>
      <c r="C36" s="10"/>
      <c r="D36" s="10"/>
      <c r="E36" s="10"/>
    </row>
    <row r="37" spans="1:9" x14ac:dyDescent="0.2">
      <c r="A37" s="8" t="s">
        <v>5</v>
      </c>
      <c r="B37" s="8"/>
      <c r="C37" s="9">
        <f>C14+C15+C16+C17+C18+C19+C26+C29+C30+C31+C32+C33+C34+C35+C20+C21+C23+C25</f>
        <v>2992.1499999999996</v>
      </c>
      <c r="D37" s="4"/>
      <c r="E37" s="4"/>
    </row>
    <row r="38" spans="1:9" x14ac:dyDescent="0.2">
      <c r="A38" s="4" t="s">
        <v>129</v>
      </c>
      <c r="B38" s="4"/>
      <c r="C38" s="7">
        <f>F9+D9</f>
        <v>4800</v>
      </c>
      <c r="D38" s="4"/>
      <c r="E38" s="4"/>
    </row>
    <row r="39" spans="1:9" x14ac:dyDescent="0.2">
      <c r="A39" s="4"/>
      <c r="B39" s="4"/>
      <c r="C39" s="4"/>
      <c r="D39" s="4"/>
      <c r="E39" s="4"/>
    </row>
    <row r="40" spans="1:9" x14ac:dyDescent="0.2">
      <c r="A40" s="11" t="s">
        <v>130</v>
      </c>
      <c r="B40" s="11"/>
      <c r="C40" s="12">
        <f>C38-C37</f>
        <v>1807.8500000000004</v>
      </c>
      <c r="D40" s="11"/>
      <c r="E40" s="11"/>
    </row>
    <row r="41" spans="1:9" x14ac:dyDescent="0.2">
      <c r="G41" s="24"/>
      <c r="H41" s="24"/>
      <c r="I41" s="24"/>
    </row>
    <row r="43" spans="1:9" x14ac:dyDescent="0.2">
      <c r="A43" s="24" t="s">
        <v>126</v>
      </c>
    </row>
    <row r="45" spans="1:9" x14ac:dyDescent="0.2">
      <c r="A45">
        <v>170.12</v>
      </c>
    </row>
    <row r="47" spans="1:9" x14ac:dyDescent="0.2">
      <c r="G47" s="26"/>
      <c r="I47" s="26"/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I45"/>
  <sheetViews>
    <sheetView topLeftCell="A22" workbookViewId="0">
      <selection activeCell="A31" sqref="A31:XFD31"/>
    </sheetView>
  </sheetViews>
  <sheetFormatPr baseColWidth="10" defaultColWidth="8.83203125" defaultRowHeight="15" x14ac:dyDescent="0.2"/>
  <cols>
    <col min="1" max="1" width="40.5" bestFit="1" customWidth="1"/>
    <col min="2" max="2" width="12.1640625" bestFit="1" customWidth="1"/>
    <col min="3" max="3" width="23.33203125" bestFit="1" customWidth="1"/>
    <col min="4" max="4" width="9.33203125" bestFit="1" customWidth="1"/>
    <col min="5" max="5" width="21.83203125" bestFit="1" customWidth="1"/>
    <col min="6" max="6" width="18.5" bestFit="1" customWidth="1"/>
    <col min="7" max="8" width="11" customWidth="1"/>
    <col min="9" max="9" width="11.6640625" bestFit="1" customWidth="1"/>
    <col min="10" max="10" width="28" bestFit="1" customWidth="1"/>
    <col min="11" max="11" width="10" bestFit="1" customWidth="1"/>
    <col min="12" max="12" width="50" bestFit="1" customWidth="1"/>
  </cols>
  <sheetData>
    <row r="1" spans="1:12" ht="21" x14ac:dyDescent="0.25">
      <c r="A1" s="1" t="s">
        <v>117</v>
      </c>
    </row>
    <row r="2" spans="1:12" x14ac:dyDescent="0.2">
      <c r="C2" s="144"/>
      <c r="D2" s="144"/>
    </row>
    <row r="3" spans="1:12" x14ac:dyDescent="0.2">
      <c r="A3" s="17" t="s">
        <v>114</v>
      </c>
      <c r="B3" s="4"/>
      <c r="C3" s="5"/>
      <c r="D3" s="18" t="s">
        <v>24</v>
      </c>
      <c r="E3" s="4"/>
      <c r="F3" s="6" t="s">
        <v>23</v>
      </c>
      <c r="I3" s="24"/>
    </row>
    <row r="4" spans="1:12" s="24" customFormat="1" x14ac:dyDescent="0.2">
      <c r="A4" s="20" t="s">
        <v>113</v>
      </c>
      <c r="B4" s="20"/>
      <c r="C4" s="22"/>
      <c r="D4" s="22">
        <v>880.74</v>
      </c>
      <c r="E4" s="22"/>
      <c r="F4" s="22"/>
    </row>
    <row r="5" spans="1:12" s="24" customFormat="1" x14ac:dyDescent="0.2">
      <c r="A5" s="20" t="s">
        <v>121</v>
      </c>
      <c r="B5" s="20"/>
      <c r="C5" s="23"/>
      <c r="D5" s="22">
        <v>608.52</v>
      </c>
      <c r="E5" s="20"/>
      <c r="F5" s="22"/>
    </row>
    <row r="6" spans="1:12" s="24" customFormat="1" x14ac:dyDescent="0.2">
      <c r="A6" s="20" t="s">
        <v>122</v>
      </c>
      <c r="B6" s="20"/>
      <c r="C6" s="22"/>
      <c r="D6" s="22">
        <v>907.37</v>
      </c>
      <c r="E6" s="22"/>
      <c r="F6" s="22"/>
    </row>
    <row r="7" spans="1:12" s="24" customFormat="1" x14ac:dyDescent="0.2">
      <c r="A7" s="20" t="s">
        <v>123</v>
      </c>
      <c r="B7" s="20"/>
      <c r="C7" s="20"/>
      <c r="D7" s="22">
        <v>608.37</v>
      </c>
      <c r="E7" s="20"/>
      <c r="F7" s="22"/>
    </row>
    <row r="8" spans="1:12" s="24" customFormat="1" x14ac:dyDescent="0.2">
      <c r="A8" s="20" t="s">
        <v>124</v>
      </c>
      <c r="B8" s="20"/>
      <c r="C8" s="20"/>
      <c r="D8" s="20"/>
      <c r="E8" s="20"/>
      <c r="F8" s="22"/>
    </row>
    <row r="9" spans="1:12" x14ac:dyDescent="0.2">
      <c r="D9" s="19">
        <f>D4+D5+D6+D7</f>
        <v>3005</v>
      </c>
      <c r="F9" s="19">
        <f>F4+F5+F6+F7+F8</f>
        <v>0</v>
      </c>
      <c r="I9" s="24"/>
    </row>
    <row r="10" spans="1:12" x14ac:dyDescent="0.2">
      <c r="A10" s="2"/>
      <c r="B10" s="2"/>
      <c r="C10" s="2"/>
      <c r="D10" s="2"/>
      <c r="E10" s="2"/>
    </row>
    <row r="11" spans="1:12" x14ac:dyDescent="0.2">
      <c r="A11" s="2"/>
      <c r="B11" s="2"/>
      <c r="C11" s="2"/>
      <c r="D11" s="2"/>
      <c r="E11" s="2"/>
    </row>
    <row r="12" spans="1:12" x14ac:dyDescent="0.2">
      <c r="A12" s="3" t="s">
        <v>1</v>
      </c>
      <c r="B12" s="4"/>
      <c r="C12" s="3" t="s">
        <v>2</v>
      </c>
      <c r="D12" s="4"/>
      <c r="E12" s="3" t="s">
        <v>3</v>
      </c>
      <c r="L12">
        <v>1073</v>
      </c>
    </row>
    <row r="13" spans="1:12" x14ac:dyDescent="0.2">
      <c r="A13" s="3" t="s">
        <v>12</v>
      </c>
      <c r="B13" s="4"/>
      <c r="C13" s="3"/>
      <c r="D13" s="4"/>
      <c r="E13" s="3"/>
      <c r="J13" s="39"/>
    </row>
    <row r="14" spans="1:12" s="24" customFormat="1" x14ac:dyDescent="0.2">
      <c r="A14" s="20" t="s">
        <v>60</v>
      </c>
      <c r="B14" s="20"/>
      <c r="C14" s="20">
        <v>93</v>
      </c>
      <c r="D14" s="20"/>
      <c r="E14" s="20">
        <v>93</v>
      </c>
    </row>
    <row r="15" spans="1:12" s="24" customFormat="1" x14ac:dyDescent="0.2">
      <c r="A15" s="20" t="s">
        <v>59</v>
      </c>
      <c r="B15" s="20"/>
      <c r="C15" s="21">
        <v>787.74</v>
      </c>
      <c r="D15" s="20"/>
      <c r="E15" s="21">
        <v>787.74</v>
      </c>
      <c r="F15" s="34"/>
    </row>
    <row r="16" spans="1:12" s="24" customFormat="1" x14ac:dyDescent="0.2">
      <c r="A16" s="20" t="s">
        <v>61</v>
      </c>
      <c r="B16" s="20"/>
      <c r="C16" s="21">
        <v>356.1</v>
      </c>
      <c r="D16" s="20"/>
      <c r="E16" s="21">
        <v>356.1</v>
      </c>
      <c r="F16" s="34"/>
    </row>
    <row r="17" spans="1:399" s="24" customFormat="1" x14ac:dyDescent="0.2">
      <c r="A17" s="20" t="s">
        <v>62</v>
      </c>
      <c r="B17" s="20"/>
      <c r="C17" s="21">
        <v>45</v>
      </c>
      <c r="D17" s="20"/>
      <c r="E17" s="21">
        <v>45</v>
      </c>
    </row>
    <row r="18" spans="1:399" s="24" customFormat="1" x14ac:dyDescent="0.2">
      <c r="A18" s="20" t="s">
        <v>63</v>
      </c>
      <c r="B18" s="20"/>
      <c r="C18" s="21">
        <v>7.95</v>
      </c>
      <c r="D18" s="20"/>
      <c r="E18" s="21">
        <v>7.95</v>
      </c>
    </row>
    <row r="19" spans="1:399" s="24" customFormat="1" x14ac:dyDescent="0.2">
      <c r="A19" s="20" t="s">
        <v>64</v>
      </c>
      <c r="B19" s="20"/>
      <c r="C19" s="21">
        <v>7.47</v>
      </c>
      <c r="D19" s="20"/>
      <c r="E19" s="21">
        <v>7.47</v>
      </c>
    </row>
    <row r="20" spans="1:399" s="24" customFormat="1" x14ac:dyDescent="0.2">
      <c r="A20" s="20" t="s">
        <v>119</v>
      </c>
      <c r="B20" s="20"/>
      <c r="C20" s="21">
        <v>25</v>
      </c>
      <c r="D20" s="20"/>
      <c r="E20" s="21">
        <v>25</v>
      </c>
    </row>
    <row r="21" spans="1:399" s="24" customFormat="1" x14ac:dyDescent="0.2">
      <c r="A21" s="20" t="s">
        <v>118</v>
      </c>
      <c r="B21" s="20"/>
      <c r="C21" s="21">
        <v>25</v>
      </c>
      <c r="D21" s="20"/>
      <c r="E21" s="21">
        <v>25</v>
      </c>
      <c r="F21" s="34"/>
    </row>
    <row r="22" spans="1:399" s="24" customFormat="1" x14ac:dyDescent="0.2">
      <c r="A22" s="20" t="s">
        <v>125</v>
      </c>
      <c r="B22" s="20"/>
      <c r="C22" s="21">
        <v>25</v>
      </c>
      <c r="D22" s="20"/>
      <c r="E22" s="21">
        <v>25</v>
      </c>
      <c r="F22" s="34"/>
    </row>
    <row r="23" spans="1:399" s="24" customFormat="1" x14ac:dyDescent="0.2">
      <c r="A23" s="20" t="s">
        <v>120</v>
      </c>
      <c r="B23" s="20"/>
      <c r="C23" s="21">
        <v>7</v>
      </c>
      <c r="D23" s="20"/>
      <c r="E23" s="21">
        <v>7</v>
      </c>
      <c r="F23" s="34"/>
    </row>
    <row r="24" spans="1:399" s="24" customFormat="1" x14ac:dyDescent="0.2">
      <c r="A24" s="20" t="s">
        <v>66</v>
      </c>
      <c r="B24" s="20"/>
      <c r="C24" s="21">
        <v>81</v>
      </c>
      <c r="D24" s="20"/>
      <c r="E24" s="21">
        <v>81</v>
      </c>
    </row>
    <row r="25" spans="1:399" s="31" customFormat="1" x14ac:dyDescent="0.2">
      <c r="A25" s="29"/>
      <c r="B25" s="29"/>
      <c r="C25" s="30"/>
      <c r="D25" s="29"/>
      <c r="E25" s="30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6"/>
      <c r="LG25" s="26"/>
      <c r="LH25" s="26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6"/>
      <c r="MT25" s="26"/>
      <c r="MU25" s="26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  <c r="NP25" s="26"/>
      <c r="NQ25" s="26"/>
      <c r="NR25" s="26"/>
      <c r="NS25" s="26"/>
      <c r="NT25" s="26"/>
      <c r="NU25" s="26"/>
      <c r="NV25" s="26"/>
      <c r="NW25" s="26"/>
      <c r="NX25" s="26"/>
      <c r="NY25" s="26"/>
      <c r="NZ25" s="26"/>
      <c r="OA25" s="26"/>
      <c r="OB25" s="26"/>
      <c r="OC25" s="26"/>
      <c r="OD25" s="26"/>
      <c r="OE25" s="26"/>
      <c r="OF25" s="26"/>
      <c r="OG25" s="26"/>
      <c r="OH25" s="26"/>
      <c r="OI25" s="26"/>
    </row>
    <row r="26" spans="1:399" s="26" customFormat="1" x14ac:dyDescent="0.2">
      <c r="A26" s="32" t="s">
        <v>13</v>
      </c>
      <c r="B26" s="25"/>
      <c r="C26" s="27"/>
      <c r="D26" s="25"/>
      <c r="E26" s="27"/>
    </row>
    <row r="27" spans="1:399" s="24" customFormat="1" x14ac:dyDescent="0.2">
      <c r="A27" s="20" t="s">
        <v>72</v>
      </c>
      <c r="B27" s="20"/>
      <c r="C27" s="21">
        <v>457.42</v>
      </c>
      <c r="D27" s="20"/>
      <c r="E27" s="21">
        <v>457.42</v>
      </c>
      <c r="F27" s="34"/>
    </row>
    <row r="28" spans="1:399" s="24" customFormat="1" x14ac:dyDescent="0.2">
      <c r="A28" s="20" t="s">
        <v>79</v>
      </c>
      <c r="B28" s="20"/>
      <c r="C28" s="21">
        <v>138.4</v>
      </c>
      <c r="D28" s="20"/>
      <c r="E28" s="21"/>
      <c r="F28" s="34"/>
    </row>
    <row r="29" spans="1:399" s="24" customFormat="1" x14ac:dyDescent="0.2">
      <c r="A29" s="20" t="s">
        <v>73</v>
      </c>
      <c r="B29" s="20"/>
      <c r="C29" s="21">
        <v>311.55</v>
      </c>
      <c r="D29" s="20"/>
      <c r="E29" s="21">
        <v>311.55</v>
      </c>
      <c r="F29" s="34"/>
    </row>
    <row r="30" spans="1:399" s="24" customFormat="1" x14ac:dyDescent="0.2">
      <c r="A30" s="20" t="s">
        <v>75</v>
      </c>
      <c r="B30" s="20"/>
      <c r="C30" s="21">
        <v>256.22000000000003</v>
      </c>
      <c r="D30" s="20"/>
      <c r="E30" s="21">
        <v>135.30000000000001</v>
      </c>
    </row>
    <row r="31" spans="1:399" s="24" customFormat="1" x14ac:dyDescent="0.2">
      <c r="A31" s="20" t="s">
        <v>76</v>
      </c>
      <c r="B31" s="20"/>
      <c r="C31" s="21">
        <v>14.99</v>
      </c>
      <c r="D31" s="20"/>
      <c r="E31" s="21">
        <v>14.99</v>
      </c>
    </row>
    <row r="32" spans="1:399" s="24" customFormat="1" x14ac:dyDescent="0.2">
      <c r="A32" s="20" t="s">
        <v>77</v>
      </c>
      <c r="B32" s="20"/>
      <c r="C32" s="21">
        <v>205</v>
      </c>
      <c r="D32" s="20"/>
      <c r="E32" s="21"/>
    </row>
    <row r="33" spans="1:9" s="24" customFormat="1" x14ac:dyDescent="0.2">
      <c r="A33" s="20" t="s">
        <v>78</v>
      </c>
      <c r="B33" s="20"/>
      <c r="C33" s="21">
        <v>132.16</v>
      </c>
      <c r="D33" s="20"/>
      <c r="E33" s="21">
        <v>132</v>
      </c>
      <c r="F33" s="37"/>
    </row>
    <row r="34" spans="1:9" x14ac:dyDescent="0.2">
      <c r="A34" s="10"/>
      <c r="B34" s="10"/>
      <c r="C34" s="10"/>
      <c r="D34" s="10"/>
      <c r="E34" s="10"/>
    </row>
    <row r="35" spans="1:9" x14ac:dyDescent="0.2">
      <c r="A35" s="8" t="s">
        <v>5</v>
      </c>
      <c r="B35" s="8"/>
      <c r="C35" s="9">
        <f>C14+C15+C16+C17+C18+C19+C24+C27+C28+C29+C30+C31+C32+C33+C20+C21+C22+C23</f>
        <v>2976</v>
      </c>
      <c r="D35" s="4"/>
      <c r="E35" s="4"/>
    </row>
    <row r="36" spans="1:9" x14ac:dyDescent="0.2">
      <c r="A36" s="4" t="s">
        <v>115</v>
      </c>
      <c r="B36" s="4"/>
      <c r="C36" s="7">
        <f>F9+D9</f>
        <v>3005</v>
      </c>
      <c r="D36" s="4"/>
      <c r="E36" s="4"/>
    </row>
    <row r="37" spans="1:9" x14ac:dyDescent="0.2">
      <c r="A37" s="4"/>
      <c r="B37" s="4"/>
      <c r="C37" s="4"/>
      <c r="D37" s="4"/>
      <c r="E37" s="4"/>
    </row>
    <row r="38" spans="1:9" x14ac:dyDescent="0.2">
      <c r="A38" s="11" t="s">
        <v>116</v>
      </c>
      <c r="B38" s="11"/>
      <c r="C38" s="12">
        <f>C36-C35</f>
        <v>29</v>
      </c>
      <c r="D38" s="11"/>
      <c r="E38" s="11"/>
    </row>
    <row r="39" spans="1:9" x14ac:dyDescent="0.2">
      <c r="G39" s="24"/>
      <c r="H39" s="24"/>
      <c r="I39" s="24"/>
    </row>
    <row r="41" spans="1:9" x14ac:dyDescent="0.2">
      <c r="A41" s="24" t="s">
        <v>126</v>
      </c>
    </row>
    <row r="45" spans="1:9" x14ac:dyDescent="0.2">
      <c r="G45" s="26"/>
      <c r="I45" s="26"/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I39"/>
  <sheetViews>
    <sheetView topLeftCell="A7" workbookViewId="0">
      <selection activeCell="A28" sqref="A28:XFD28"/>
    </sheetView>
  </sheetViews>
  <sheetFormatPr baseColWidth="10" defaultColWidth="8.83203125" defaultRowHeight="15" x14ac:dyDescent="0.2"/>
  <cols>
    <col min="1" max="1" width="40.5" bestFit="1" customWidth="1"/>
    <col min="2" max="2" width="12.1640625" bestFit="1" customWidth="1"/>
    <col min="3" max="3" width="23.33203125" bestFit="1" customWidth="1"/>
    <col min="4" max="4" width="9.33203125" bestFit="1" customWidth="1"/>
    <col min="5" max="5" width="21.83203125" bestFit="1" customWidth="1"/>
    <col min="6" max="6" width="18.5" bestFit="1" customWidth="1"/>
    <col min="9" max="9" width="35.5" bestFit="1" customWidth="1"/>
  </cols>
  <sheetData>
    <row r="1" spans="1:9" ht="21" x14ac:dyDescent="0.25">
      <c r="A1" s="1" t="s">
        <v>105</v>
      </c>
    </row>
    <row r="2" spans="1:9" x14ac:dyDescent="0.2">
      <c r="C2" s="144"/>
      <c r="D2" s="144"/>
    </row>
    <row r="3" spans="1:9" x14ac:dyDescent="0.2">
      <c r="A3" s="17" t="s">
        <v>106</v>
      </c>
      <c r="B3" s="4"/>
      <c r="C3" s="5"/>
      <c r="D3" s="18" t="s">
        <v>24</v>
      </c>
      <c r="E3" s="4"/>
      <c r="F3" s="6" t="s">
        <v>23</v>
      </c>
      <c r="I3" s="24"/>
    </row>
    <row r="4" spans="1:9" s="24" customFormat="1" x14ac:dyDescent="0.2">
      <c r="A4" s="20" t="s">
        <v>109</v>
      </c>
      <c r="B4" s="20"/>
      <c r="C4" s="22"/>
      <c r="D4" s="22">
        <v>880.74</v>
      </c>
      <c r="E4" s="22"/>
      <c r="F4" s="22">
        <v>295.13</v>
      </c>
    </row>
    <row r="5" spans="1:9" s="24" customFormat="1" x14ac:dyDescent="0.2">
      <c r="A5" s="20" t="s">
        <v>110</v>
      </c>
      <c r="B5" s="20"/>
      <c r="C5" s="23"/>
      <c r="D5" s="22">
        <v>481.52</v>
      </c>
      <c r="E5" s="20"/>
      <c r="F5" s="22"/>
    </row>
    <row r="6" spans="1:9" s="26" customFormat="1" x14ac:dyDescent="0.2">
      <c r="A6" s="25" t="s">
        <v>111</v>
      </c>
      <c r="B6" s="25"/>
      <c r="C6" s="33"/>
      <c r="D6" s="33">
        <v>907.37</v>
      </c>
      <c r="E6" s="33"/>
      <c r="F6" s="33">
        <v>271.89999999999998</v>
      </c>
    </row>
    <row r="7" spans="1:9" s="26" customFormat="1" x14ac:dyDescent="0.2">
      <c r="A7" s="25" t="s">
        <v>112</v>
      </c>
      <c r="B7" s="25"/>
      <c r="C7" s="25"/>
      <c r="D7" s="33">
        <v>478.46</v>
      </c>
      <c r="E7" s="25"/>
      <c r="F7" s="33"/>
    </row>
    <row r="8" spans="1:9" s="26" customFormat="1" x14ac:dyDescent="0.2">
      <c r="A8" s="25" t="s">
        <v>113</v>
      </c>
      <c r="B8" s="25"/>
      <c r="C8" s="25"/>
      <c r="D8" s="25"/>
      <c r="E8" s="25"/>
      <c r="F8" s="33"/>
      <c r="I8" s="24"/>
    </row>
    <row r="9" spans="1:9" x14ac:dyDescent="0.2">
      <c r="D9" s="19">
        <f>D4+D5+D6+D7</f>
        <v>2748.09</v>
      </c>
      <c r="F9" s="19">
        <f>F4+F5+F6+F7+F8</f>
        <v>567.03</v>
      </c>
      <c r="I9" s="24"/>
    </row>
    <row r="10" spans="1:9" x14ac:dyDescent="0.2">
      <c r="A10" s="2"/>
      <c r="B10" s="2"/>
      <c r="C10" s="2"/>
      <c r="D10" s="2"/>
      <c r="E10" s="2"/>
      <c r="I10" s="24"/>
    </row>
    <row r="11" spans="1:9" x14ac:dyDescent="0.2">
      <c r="A11" s="2"/>
      <c r="B11" s="2"/>
      <c r="C11" s="2"/>
      <c r="D11" s="2"/>
      <c r="E11" s="2"/>
      <c r="I11" s="24"/>
    </row>
    <row r="12" spans="1:9" x14ac:dyDescent="0.2">
      <c r="A12" s="3" t="s">
        <v>1</v>
      </c>
      <c r="B12" s="4"/>
      <c r="C12" s="3" t="s">
        <v>2</v>
      </c>
      <c r="D12" s="4"/>
      <c r="E12" s="3" t="s">
        <v>3</v>
      </c>
    </row>
    <row r="13" spans="1:9" x14ac:dyDescent="0.2">
      <c r="A13" s="3" t="s">
        <v>12</v>
      </c>
      <c r="B13" s="4"/>
      <c r="C13" s="3"/>
      <c r="D13" s="4"/>
      <c r="E13" s="3"/>
    </row>
    <row r="14" spans="1:9" s="24" customFormat="1" x14ac:dyDescent="0.2">
      <c r="A14" s="20" t="s">
        <v>60</v>
      </c>
      <c r="B14" s="20"/>
      <c r="C14" s="20">
        <v>93</v>
      </c>
      <c r="D14" s="20"/>
      <c r="E14" s="20">
        <v>93</v>
      </c>
    </row>
    <row r="15" spans="1:9" s="24" customFormat="1" x14ac:dyDescent="0.2">
      <c r="A15" s="20" t="s">
        <v>59</v>
      </c>
      <c r="B15" s="20"/>
      <c r="C15" s="21">
        <v>787.74</v>
      </c>
      <c r="D15" s="20"/>
      <c r="E15" s="21">
        <v>787.74</v>
      </c>
      <c r="F15" s="34"/>
    </row>
    <row r="16" spans="1:9" s="24" customFormat="1" x14ac:dyDescent="0.2">
      <c r="A16" s="20" t="s">
        <v>61</v>
      </c>
      <c r="B16" s="20"/>
      <c r="C16" s="21">
        <v>356.1</v>
      </c>
      <c r="D16" s="20"/>
      <c r="E16" s="21">
        <v>356.1</v>
      </c>
      <c r="F16" s="34"/>
    </row>
    <row r="17" spans="1:399" s="24" customFormat="1" x14ac:dyDescent="0.2">
      <c r="A17" s="20" t="s">
        <v>62</v>
      </c>
      <c r="B17" s="20"/>
      <c r="C17" s="21">
        <v>45</v>
      </c>
      <c r="D17" s="20"/>
      <c r="E17" s="21">
        <v>45</v>
      </c>
    </row>
    <row r="18" spans="1:399" s="24" customFormat="1" x14ac:dyDescent="0.2">
      <c r="A18" s="20" t="s">
        <v>63</v>
      </c>
      <c r="B18" s="20"/>
      <c r="C18" s="21">
        <v>7.95</v>
      </c>
      <c r="D18" s="20"/>
      <c r="E18" s="21">
        <v>7.95</v>
      </c>
    </row>
    <row r="19" spans="1:399" s="24" customFormat="1" x14ac:dyDescent="0.2">
      <c r="A19" s="20" t="s">
        <v>64</v>
      </c>
      <c r="B19" s="20"/>
      <c r="C19" s="21">
        <v>7.47</v>
      </c>
      <c r="D19" s="20"/>
      <c r="E19" s="21">
        <v>7.47</v>
      </c>
    </row>
    <row r="20" spans="1:399" s="24" customFormat="1" x14ac:dyDescent="0.2">
      <c r="A20" s="20" t="s">
        <v>65</v>
      </c>
      <c r="B20" s="20"/>
      <c r="C20" s="21">
        <v>25</v>
      </c>
      <c r="D20" s="20"/>
      <c r="E20" s="21">
        <v>75</v>
      </c>
      <c r="F20" s="34"/>
    </row>
    <row r="21" spans="1:399" s="24" customFormat="1" x14ac:dyDescent="0.2">
      <c r="A21" s="20" t="s">
        <v>66</v>
      </c>
      <c r="B21" s="20"/>
      <c r="C21" s="21">
        <v>40</v>
      </c>
      <c r="D21" s="20"/>
      <c r="E21" s="21">
        <v>26.46</v>
      </c>
      <c r="F21" s="34"/>
    </row>
    <row r="22" spans="1:399" s="31" customFormat="1" x14ac:dyDescent="0.2">
      <c r="A22" s="29"/>
      <c r="B22" s="29"/>
      <c r="C22" s="30"/>
      <c r="D22" s="29"/>
      <c r="E22" s="30"/>
      <c r="F22" s="38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6"/>
      <c r="JT22" s="26"/>
      <c r="JU22" s="26"/>
      <c r="JV22" s="26"/>
      <c r="JW22" s="26"/>
      <c r="JX22" s="26"/>
      <c r="JY22" s="26"/>
      <c r="JZ22" s="26"/>
      <c r="KA22" s="26"/>
      <c r="KB22" s="26"/>
      <c r="KC22" s="26"/>
      <c r="KD22" s="26"/>
      <c r="KE22" s="26"/>
      <c r="KF22" s="26"/>
      <c r="KG22" s="26"/>
      <c r="KH22" s="26"/>
      <c r="KI22" s="26"/>
      <c r="KJ22" s="26"/>
      <c r="KK22" s="26"/>
      <c r="KL22" s="26"/>
      <c r="KM22" s="26"/>
      <c r="KN22" s="26"/>
      <c r="KO22" s="26"/>
      <c r="KP22" s="26"/>
      <c r="KQ22" s="26"/>
      <c r="KR22" s="26"/>
      <c r="KS22" s="26"/>
      <c r="KT22" s="26"/>
      <c r="KU22" s="26"/>
      <c r="KV22" s="26"/>
      <c r="KW22" s="26"/>
      <c r="KX22" s="26"/>
      <c r="KY22" s="26"/>
      <c r="KZ22" s="26"/>
      <c r="LA22" s="26"/>
      <c r="LB22" s="26"/>
      <c r="LC22" s="26"/>
      <c r="LD22" s="26"/>
      <c r="LE22" s="26"/>
      <c r="LF22" s="26"/>
      <c r="LG22" s="26"/>
      <c r="LH22" s="26"/>
      <c r="LI22" s="26"/>
      <c r="LJ22" s="26"/>
      <c r="LK22" s="26"/>
      <c r="LL22" s="26"/>
      <c r="LM22" s="26"/>
      <c r="LN22" s="26"/>
      <c r="LO22" s="26"/>
      <c r="LP22" s="26"/>
      <c r="LQ22" s="26"/>
      <c r="LR22" s="26"/>
      <c r="LS22" s="26"/>
      <c r="LT22" s="26"/>
      <c r="LU22" s="26"/>
      <c r="LV22" s="26"/>
      <c r="LW22" s="26"/>
      <c r="LX22" s="26"/>
      <c r="LY22" s="26"/>
      <c r="LZ22" s="26"/>
      <c r="MA22" s="26"/>
      <c r="MB22" s="26"/>
      <c r="MC22" s="26"/>
      <c r="MD22" s="26"/>
      <c r="ME22" s="26"/>
      <c r="MF22" s="26"/>
      <c r="MG22" s="26"/>
      <c r="MH22" s="26"/>
      <c r="MI22" s="26"/>
      <c r="MJ22" s="26"/>
      <c r="MK22" s="26"/>
      <c r="ML22" s="26"/>
      <c r="MM22" s="26"/>
      <c r="MN22" s="26"/>
      <c r="MO22" s="26"/>
      <c r="MP22" s="26"/>
      <c r="MQ22" s="26"/>
      <c r="MR22" s="26"/>
      <c r="MS22" s="26"/>
      <c r="MT22" s="26"/>
      <c r="MU22" s="26"/>
      <c r="MV22" s="26"/>
      <c r="MW22" s="26"/>
      <c r="MX22" s="26"/>
      <c r="MY22" s="26"/>
      <c r="MZ22" s="26"/>
      <c r="NA22" s="26"/>
      <c r="NB22" s="26"/>
      <c r="NC22" s="26"/>
      <c r="ND22" s="26"/>
      <c r="NE22" s="26"/>
      <c r="NF22" s="26"/>
      <c r="NG22" s="26"/>
      <c r="NH22" s="26"/>
      <c r="NI22" s="26"/>
      <c r="NJ22" s="26"/>
      <c r="NK22" s="26"/>
      <c r="NL22" s="26"/>
      <c r="NM22" s="26"/>
      <c r="NN22" s="26"/>
      <c r="NO22" s="26"/>
      <c r="NP22" s="26"/>
      <c r="NQ22" s="26"/>
      <c r="NR22" s="26"/>
      <c r="NS22" s="26"/>
      <c r="NT22" s="26"/>
      <c r="NU22" s="26"/>
      <c r="NV22" s="26"/>
      <c r="NW22" s="26"/>
      <c r="NX22" s="26"/>
      <c r="NY22" s="26"/>
      <c r="NZ22" s="26"/>
      <c r="OA22" s="26"/>
      <c r="OB22" s="26"/>
      <c r="OC22" s="26"/>
      <c r="OD22" s="26"/>
      <c r="OE22" s="26"/>
      <c r="OF22" s="26"/>
      <c r="OG22" s="26"/>
      <c r="OH22" s="26"/>
      <c r="OI22" s="26"/>
    </row>
    <row r="23" spans="1:399" s="26" customFormat="1" x14ac:dyDescent="0.2">
      <c r="A23" s="32" t="s">
        <v>13</v>
      </c>
      <c r="B23" s="25"/>
      <c r="C23" s="27"/>
      <c r="D23" s="25"/>
      <c r="E23" s="27"/>
      <c r="F23" s="38"/>
    </row>
    <row r="24" spans="1:399" s="24" customFormat="1" x14ac:dyDescent="0.2">
      <c r="A24" s="20" t="s">
        <v>72</v>
      </c>
      <c r="B24" s="20"/>
      <c r="C24" s="21">
        <v>457.42</v>
      </c>
      <c r="D24" s="20"/>
      <c r="E24" s="21">
        <v>457.42</v>
      </c>
      <c r="F24" s="34"/>
    </row>
    <row r="25" spans="1:399" s="24" customFormat="1" x14ac:dyDescent="0.2">
      <c r="A25" s="20" t="s">
        <v>79</v>
      </c>
      <c r="B25" s="20"/>
      <c r="C25" s="21">
        <v>138.4</v>
      </c>
      <c r="D25" s="20"/>
      <c r="E25" s="21"/>
      <c r="F25" s="34"/>
    </row>
    <row r="26" spans="1:399" s="26" customFormat="1" x14ac:dyDescent="0.2">
      <c r="A26" s="25" t="s">
        <v>73</v>
      </c>
      <c r="B26" s="25"/>
      <c r="C26" s="21">
        <v>311.55</v>
      </c>
      <c r="D26" s="25"/>
      <c r="E26" s="27">
        <v>311.55</v>
      </c>
      <c r="F26" s="38"/>
    </row>
    <row r="27" spans="1:399" s="24" customFormat="1" x14ac:dyDescent="0.2">
      <c r="A27" s="20" t="s">
        <v>75</v>
      </c>
      <c r="B27" s="20"/>
      <c r="C27" s="21">
        <v>256.22000000000003</v>
      </c>
      <c r="D27" s="20"/>
      <c r="E27" s="21">
        <v>256.22000000000003</v>
      </c>
      <c r="F27" s="24">
        <v>256.22000000000003</v>
      </c>
    </row>
    <row r="28" spans="1:399" s="24" customFormat="1" x14ac:dyDescent="0.2">
      <c r="A28" s="20" t="s">
        <v>76</v>
      </c>
      <c r="B28" s="20"/>
      <c r="C28" s="21">
        <v>14.99</v>
      </c>
      <c r="D28" s="20"/>
      <c r="E28" s="21">
        <v>14.99</v>
      </c>
    </row>
    <row r="29" spans="1:399" s="24" customFormat="1" x14ac:dyDescent="0.2">
      <c r="A29" s="20" t="s">
        <v>77</v>
      </c>
      <c r="B29" s="20"/>
      <c r="C29" s="21">
        <v>196</v>
      </c>
      <c r="D29" s="20"/>
      <c r="E29" s="21"/>
    </row>
    <row r="30" spans="1:399" s="24" customFormat="1" x14ac:dyDescent="0.2">
      <c r="A30" s="20" t="s">
        <v>78</v>
      </c>
      <c r="B30" s="20"/>
      <c r="C30" s="21">
        <v>132.16</v>
      </c>
      <c r="D30" s="20"/>
      <c r="E30" s="21">
        <v>132</v>
      </c>
      <c r="F30" s="37"/>
    </row>
    <row r="31" spans="1:399" x14ac:dyDescent="0.2">
      <c r="A31" s="10"/>
      <c r="B31" s="10"/>
      <c r="C31" s="10"/>
      <c r="D31" s="10"/>
      <c r="E31" s="10"/>
    </row>
    <row r="32" spans="1:399" x14ac:dyDescent="0.2">
      <c r="A32" s="8" t="s">
        <v>5</v>
      </c>
      <c r="B32" s="8"/>
      <c r="C32" s="9">
        <f>C14+C15+C16+C17+C18+C19+C21+C24+C25+C26+C27+C28+C29+C30</f>
        <v>2844</v>
      </c>
      <c r="D32" s="4"/>
      <c r="E32" s="4"/>
    </row>
    <row r="33" spans="1:5" x14ac:dyDescent="0.2">
      <c r="A33" s="4" t="s">
        <v>107</v>
      </c>
      <c r="B33" s="4"/>
      <c r="C33" s="7">
        <f>F9+D9</f>
        <v>3315.12</v>
      </c>
      <c r="D33" s="4"/>
      <c r="E33" s="4"/>
    </row>
    <row r="34" spans="1:5" x14ac:dyDescent="0.2">
      <c r="A34" s="4"/>
      <c r="B34" s="4"/>
      <c r="C34" s="4"/>
      <c r="D34" s="4"/>
      <c r="E34" s="4"/>
    </row>
    <row r="35" spans="1:5" x14ac:dyDescent="0.2">
      <c r="A35" s="11" t="s">
        <v>108</v>
      </c>
      <c r="B35" s="11"/>
      <c r="C35" s="12">
        <f>C33-C32</f>
        <v>471.11999999999989</v>
      </c>
      <c r="D35" s="11"/>
      <c r="E35" s="11"/>
    </row>
    <row r="38" spans="1:5" x14ac:dyDescent="0.2">
      <c r="A38" t="s">
        <v>51</v>
      </c>
      <c r="B38">
        <v>2202.0300000000002</v>
      </c>
    </row>
    <row r="39" spans="1:5" x14ac:dyDescent="0.2">
      <c r="A39" t="s">
        <v>52</v>
      </c>
      <c r="B39">
        <v>1000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I39"/>
  <sheetViews>
    <sheetView workbookViewId="0">
      <selection activeCell="A28" sqref="A28:XFD28"/>
    </sheetView>
  </sheetViews>
  <sheetFormatPr baseColWidth="10" defaultColWidth="8.83203125" defaultRowHeight="15" x14ac:dyDescent="0.2"/>
  <cols>
    <col min="1" max="1" width="40.5" bestFit="1" customWidth="1"/>
    <col min="2" max="2" width="12.1640625" bestFit="1" customWidth="1"/>
    <col min="3" max="3" width="23.33203125" bestFit="1" customWidth="1"/>
    <col min="4" max="4" width="9.33203125" bestFit="1" customWidth="1"/>
    <col min="5" max="5" width="21.83203125" bestFit="1" customWidth="1"/>
    <col min="6" max="6" width="18.5" bestFit="1" customWidth="1"/>
    <col min="9" max="9" width="35.5" bestFit="1" customWidth="1"/>
  </cols>
  <sheetData>
    <row r="1" spans="1:11" ht="21" x14ac:dyDescent="0.25">
      <c r="A1" s="1" t="s">
        <v>97</v>
      </c>
    </row>
    <row r="2" spans="1:11" x14ac:dyDescent="0.2">
      <c r="C2" s="144"/>
      <c r="D2" s="144"/>
    </row>
    <row r="3" spans="1:11" x14ac:dyDescent="0.2">
      <c r="A3" s="17" t="s">
        <v>98</v>
      </c>
      <c r="B3" s="4"/>
      <c r="C3" s="5"/>
      <c r="D3" s="18" t="s">
        <v>24</v>
      </c>
      <c r="E3" s="4"/>
      <c r="F3" s="6" t="s">
        <v>23</v>
      </c>
      <c r="I3" s="24"/>
    </row>
    <row r="4" spans="1:11" s="24" customFormat="1" x14ac:dyDescent="0.2">
      <c r="A4" s="20" t="s">
        <v>101</v>
      </c>
      <c r="B4" s="20"/>
      <c r="C4" s="22"/>
      <c r="D4" s="22">
        <v>878.6</v>
      </c>
      <c r="E4" s="22"/>
      <c r="F4" s="22"/>
      <c r="K4" s="26"/>
    </row>
    <row r="5" spans="1:11" s="24" customFormat="1" x14ac:dyDescent="0.2">
      <c r="A5" s="20" t="s">
        <v>102</v>
      </c>
      <c r="B5" s="20"/>
      <c r="C5" s="23"/>
      <c r="D5" s="22">
        <v>517.28</v>
      </c>
      <c r="E5" s="20"/>
      <c r="F5" s="22"/>
      <c r="K5" s="26"/>
    </row>
    <row r="6" spans="1:11" s="26" customFormat="1" x14ac:dyDescent="0.2">
      <c r="A6" s="25" t="s">
        <v>103</v>
      </c>
      <c r="B6" s="25"/>
      <c r="C6" s="33"/>
      <c r="D6" s="33">
        <v>925.41</v>
      </c>
      <c r="E6" s="33"/>
      <c r="F6" s="33"/>
    </row>
    <row r="7" spans="1:11" s="26" customFormat="1" x14ac:dyDescent="0.2">
      <c r="A7" s="25" t="s">
        <v>104</v>
      </c>
      <c r="B7" s="25"/>
      <c r="C7" s="25"/>
      <c r="D7" s="33">
        <v>476.45</v>
      </c>
      <c r="E7" s="25"/>
      <c r="F7" s="33"/>
    </row>
    <row r="8" spans="1:11" s="26" customFormat="1" x14ac:dyDescent="0.2">
      <c r="A8" s="25"/>
      <c r="B8" s="25"/>
      <c r="C8" s="25"/>
      <c r="D8" s="25"/>
      <c r="E8" s="25"/>
      <c r="F8" s="33"/>
      <c r="I8" s="24"/>
    </row>
    <row r="9" spans="1:11" x14ac:dyDescent="0.2">
      <c r="D9" s="19">
        <f>D4+D5+D6+D7</f>
        <v>2797.74</v>
      </c>
      <c r="F9" s="19">
        <f>F4+F5+F6+F7+F8</f>
        <v>0</v>
      </c>
      <c r="I9" s="24"/>
    </row>
    <row r="10" spans="1:11" x14ac:dyDescent="0.2">
      <c r="A10" s="2"/>
      <c r="B10" s="2"/>
      <c r="C10" s="2"/>
      <c r="D10" s="2"/>
      <c r="E10" s="2"/>
      <c r="I10" s="24"/>
    </row>
    <row r="11" spans="1:11" x14ac:dyDescent="0.2">
      <c r="A11" s="2"/>
      <c r="B11" s="2"/>
      <c r="C11" s="2"/>
      <c r="D11" s="2"/>
      <c r="E11" s="2"/>
      <c r="I11" s="24"/>
    </row>
    <row r="12" spans="1:11" x14ac:dyDescent="0.2">
      <c r="A12" s="3" t="s">
        <v>1</v>
      </c>
      <c r="B12" s="4"/>
      <c r="C12" s="3" t="s">
        <v>2</v>
      </c>
      <c r="D12" s="4"/>
      <c r="E12" s="3" t="s">
        <v>3</v>
      </c>
    </row>
    <row r="13" spans="1:11" x14ac:dyDescent="0.2">
      <c r="A13" s="3" t="s">
        <v>12</v>
      </c>
      <c r="B13" s="4"/>
      <c r="C13" s="3"/>
      <c r="D13" s="4"/>
      <c r="E13" s="3"/>
    </row>
    <row r="14" spans="1:11" s="24" customFormat="1" x14ac:dyDescent="0.2">
      <c r="A14" s="20" t="s">
        <v>60</v>
      </c>
      <c r="B14" s="20"/>
      <c r="C14" s="20">
        <v>90.86</v>
      </c>
      <c r="D14" s="20"/>
      <c r="E14" s="20">
        <v>90.86</v>
      </c>
    </row>
    <row r="15" spans="1:11" s="24" customFormat="1" x14ac:dyDescent="0.2">
      <c r="A15" s="20" t="s">
        <v>59</v>
      </c>
      <c r="B15" s="20"/>
      <c r="C15" s="21">
        <v>787.74</v>
      </c>
      <c r="D15" s="20"/>
      <c r="E15" s="21">
        <v>787.74</v>
      </c>
      <c r="F15" s="34"/>
    </row>
    <row r="16" spans="1:11" s="24" customFormat="1" x14ac:dyDescent="0.2">
      <c r="A16" s="20" t="s">
        <v>61</v>
      </c>
      <c r="B16" s="20"/>
      <c r="C16" s="21">
        <v>356.1</v>
      </c>
      <c r="D16" s="20"/>
      <c r="E16" s="21">
        <v>356.1</v>
      </c>
      <c r="F16" s="34"/>
    </row>
    <row r="17" spans="1:399" s="24" customFormat="1" x14ac:dyDescent="0.2">
      <c r="A17" s="20" t="s">
        <v>62</v>
      </c>
      <c r="B17" s="20"/>
      <c r="C17" s="21">
        <v>45</v>
      </c>
      <c r="D17" s="20"/>
      <c r="E17" s="21">
        <v>45</v>
      </c>
    </row>
    <row r="18" spans="1:399" s="24" customFormat="1" x14ac:dyDescent="0.2">
      <c r="A18" s="20" t="s">
        <v>63</v>
      </c>
      <c r="B18" s="20"/>
      <c r="C18" s="21">
        <v>7.95</v>
      </c>
      <c r="D18" s="20"/>
      <c r="E18" s="21">
        <v>7.95</v>
      </c>
    </row>
    <row r="19" spans="1:399" s="24" customFormat="1" x14ac:dyDescent="0.2">
      <c r="A19" s="20" t="s">
        <v>64</v>
      </c>
      <c r="B19" s="20"/>
      <c r="C19" s="21">
        <v>7.47</v>
      </c>
      <c r="D19" s="20"/>
      <c r="E19" s="21">
        <v>7.47</v>
      </c>
    </row>
    <row r="20" spans="1:399" s="24" customFormat="1" x14ac:dyDescent="0.2">
      <c r="A20" s="20" t="s">
        <v>65</v>
      </c>
      <c r="B20" s="20"/>
      <c r="C20" s="21">
        <v>75</v>
      </c>
      <c r="D20" s="20"/>
      <c r="E20" s="21">
        <v>75</v>
      </c>
      <c r="F20" s="36"/>
    </row>
    <row r="21" spans="1:399" s="24" customFormat="1" x14ac:dyDescent="0.2">
      <c r="A21" s="20" t="s">
        <v>66</v>
      </c>
      <c r="B21" s="20"/>
      <c r="C21" s="21">
        <v>26.46</v>
      </c>
      <c r="D21" s="20"/>
      <c r="E21" s="21">
        <v>26.46</v>
      </c>
    </row>
    <row r="22" spans="1:399" s="31" customFormat="1" x14ac:dyDescent="0.2">
      <c r="A22" s="29"/>
      <c r="B22" s="29"/>
      <c r="C22" s="30"/>
      <c r="D22" s="29"/>
      <c r="E22" s="30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6"/>
      <c r="JT22" s="26"/>
      <c r="JU22" s="26"/>
      <c r="JV22" s="26"/>
      <c r="JW22" s="26"/>
      <c r="JX22" s="26"/>
      <c r="JY22" s="26"/>
      <c r="JZ22" s="26"/>
      <c r="KA22" s="26"/>
      <c r="KB22" s="26"/>
      <c r="KC22" s="26"/>
      <c r="KD22" s="26"/>
      <c r="KE22" s="26"/>
      <c r="KF22" s="26"/>
      <c r="KG22" s="26"/>
      <c r="KH22" s="26"/>
      <c r="KI22" s="26"/>
      <c r="KJ22" s="26"/>
      <c r="KK22" s="26"/>
      <c r="KL22" s="26"/>
      <c r="KM22" s="26"/>
      <c r="KN22" s="26"/>
      <c r="KO22" s="26"/>
      <c r="KP22" s="26"/>
      <c r="KQ22" s="26"/>
      <c r="KR22" s="26"/>
      <c r="KS22" s="26"/>
      <c r="KT22" s="26"/>
      <c r="KU22" s="26"/>
      <c r="KV22" s="26"/>
      <c r="KW22" s="26"/>
      <c r="KX22" s="26"/>
      <c r="KY22" s="26"/>
      <c r="KZ22" s="26"/>
      <c r="LA22" s="26"/>
      <c r="LB22" s="26"/>
      <c r="LC22" s="26"/>
      <c r="LD22" s="26"/>
      <c r="LE22" s="26"/>
      <c r="LF22" s="26"/>
      <c r="LG22" s="26"/>
      <c r="LH22" s="26"/>
      <c r="LI22" s="26"/>
      <c r="LJ22" s="26"/>
      <c r="LK22" s="26"/>
      <c r="LL22" s="26"/>
      <c r="LM22" s="26"/>
      <c r="LN22" s="26"/>
      <c r="LO22" s="26"/>
      <c r="LP22" s="26"/>
      <c r="LQ22" s="26"/>
      <c r="LR22" s="26"/>
      <c r="LS22" s="26"/>
      <c r="LT22" s="26"/>
      <c r="LU22" s="26"/>
      <c r="LV22" s="26"/>
      <c r="LW22" s="26"/>
      <c r="LX22" s="26"/>
      <c r="LY22" s="26"/>
      <c r="LZ22" s="26"/>
      <c r="MA22" s="26"/>
      <c r="MB22" s="26"/>
      <c r="MC22" s="26"/>
      <c r="MD22" s="26"/>
      <c r="ME22" s="26"/>
      <c r="MF22" s="26"/>
      <c r="MG22" s="26"/>
      <c r="MH22" s="26"/>
      <c r="MI22" s="26"/>
      <c r="MJ22" s="26"/>
      <c r="MK22" s="26"/>
      <c r="ML22" s="26"/>
      <c r="MM22" s="26"/>
      <c r="MN22" s="26"/>
      <c r="MO22" s="26"/>
      <c r="MP22" s="26"/>
      <c r="MQ22" s="26"/>
      <c r="MR22" s="26"/>
      <c r="MS22" s="26"/>
      <c r="MT22" s="26"/>
      <c r="MU22" s="26"/>
      <c r="MV22" s="26"/>
      <c r="MW22" s="26"/>
      <c r="MX22" s="26"/>
      <c r="MY22" s="26"/>
      <c r="MZ22" s="26"/>
      <c r="NA22" s="26"/>
      <c r="NB22" s="26"/>
      <c r="NC22" s="26"/>
      <c r="ND22" s="26"/>
      <c r="NE22" s="26"/>
      <c r="NF22" s="26"/>
      <c r="NG22" s="26"/>
      <c r="NH22" s="26"/>
      <c r="NI22" s="26"/>
      <c r="NJ22" s="26"/>
      <c r="NK22" s="26"/>
      <c r="NL22" s="26"/>
      <c r="NM22" s="26"/>
      <c r="NN22" s="26"/>
      <c r="NO22" s="26"/>
      <c r="NP22" s="26"/>
      <c r="NQ22" s="26"/>
      <c r="NR22" s="26"/>
      <c r="NS22" s="26"/>
      <c r="NT22" s="26"/>
      <c r="NU22" s="26"/>
      <c r="NV22" s="26"/>
      <c r="NW22" s="26"/>
      <c r="NX22" s="26"/>
      <c r="NY22" s="26"/>
      <c r="NZ22" s="26"/>
      <c r="OA22" s="26"/>
      <c r="OB22" s="26"/>
      <c r="OC22" s="26"/>
      <c r="OD22" s="26"/>
      <c r="OE22" s="26"/>
      <c r="OF22" s="26"/>
      <c r="OG22" s="26"/>
      <c r="OH22" s="26"/>
      <c r="OI22" s="26"/>
    </row>
    <row r="23" spans="1:399" s="26" customFormat="1" x14ac:dyDescent="0.2">
      <c r="A23" s="32" t="s">
        <v>13</v>
      </c>
      <c r="B23" s="25"/>
      <c r="C23" s="27"/>
      <c r="D23" s="25"/>
      <c r="E23" s="27"/>
    </row>
    <row r="24" spans="1:399" s="24" customFormat="1" x14ac:dyDescent="0.2">
      <c r="A24" s="20" t="s">
        <v>72</v>
      </c>
      <c r="B24" s="20"/>
      <c r="C24" s="21">
        <v>457.42</v>
      </c>
      <c r="D24" s="20"/>
      <c r="E24" s="21">
        <v>457.42</v>
      </c>
      <c r="F24" s="36"/>
    </row>
    <row r="25" spans="1:399" s="24" customFormat="1" x14ac:dyDescent="0.2">
      <c r="A25" s="20" t="s">
        <v>79</v>
      </c>
      <c r="B25" s="20"/>
      <c r="C25" s="21">
        <v>156.44</v>
      </c>
      <c r="D25" s="20"/>
      <c r="E25" s="21">
        <v>156.44</v>
      </c>
    </row>
    <row r="26" spans="1:399" s="24" customFormat="1" x14ac:dyDescent="0.2">
      <c r="A26" s="20" t="s">
        <v>73</v>
      </c>
      <c r="B26" s="20"/>
      <c r="C26" s="21">
        <v>311.55</v>
      </c>
      <c r="D26" s="20"/>
      <c r="E26" s="21">
        <v>311.55</v>
      </c>
      <c r="F26" s="36"/>
    </row>
    <row r="27" spans="1:399" s="24" customFormat="1" x14ac:dyDescent="0.2">
      <c r="A27" s="20" t="s">
        <v>75</v>
      </c>
      <c r="B27" s="20"/>
      <c r="C27" s="21">
        <v>135.30000000000001</v>
      </c>
      <c r="D27" s="20"/>
      <c r="E27" s="21">
        <v>135.30000000000001</v>
      </c>
    </row>
    <row r="28" spans="1:399" s="24" customFormat="1" x14ac:dyDescent="0.2">
      <c r="A28" s="20" t="s">
        <v>76</v>
      </c>
      <c r="B28" s="20"/>
      <c r="C28" s="21">
        <v>14.99</v>
      </c>
      <c r="D28" s="20"/>
      <c r="E28" s="21">
        <v>14.99</v>
      </c>
    </row>
    <row r="29" spans="1:399" s="24" customFormat="1" x14ac:dyDescent="0.2">
      <c r="A29" s="20" t="s">
        <v>77</v>
      </c>
      <c r="B29" s="20"/>
      <c r="C29" s="21">
        <v>194</v>
      </c>
      <c r="D29" s="20"/>
      <c r="E29" s="21">
        <v>194</v>
      </c>
    </row>
    <row r="30" spans="1:399" s="24" customFormat="1" x14ac:dyDescent="0.2">
      <c r="A30" s="20" t="s">
        <v>78</v>
      </c>
      <c r="B30" s="20"/>
      <c r="C30" s="21">
        <v>132.16</v>
      </c>
      <c r="D30" s="20"/>
      <c r="E30" s="21">
        <v>132</v>
      </c>
      <c r="F30" s="37"/>
    </row>
    <row r="31" spans="1:399" x14ac:dyDescent="0.2">
      <c r="A31" s="10"/>
      <c r="B31" s="10"/>
      <c r="C31" s="10"/>
      <c r="D31" s="10"/>
      <c r="E31" s="10"/>
    </row>
    <row r="32" spans="1:399" x14ac:dyDescent="0.2">
      <c r="A32" s="8" t="s">
        <v>5</v>
      </c>
      <c r="B32" s="8"/>
      <c r="C32" s="9">
        <f>C14+C15+C16+C17+C18+C19+C21+C24+C25+C26+C27+C28+C29+C30</f>
        <v>2723.44</v>
      </c>
      <c r="D32" s="4"/>
      <c r="E32" s="4"/>
    </row>
    <row r="33" spans="1:5" x14ac:dyDescent="0.2">
      <c r="A33" s="4" t="s">
        <v>99</v>
      </c>
      <c r="B33" s="4"/>
      <c r="C33" s="7">
        <f>F9+D9</f>
        <v>2797.74</v>
      </c>
      <c r="D33" s="4"/>
      <c r="E33" s="4"/>
    </row>
    <row r="34" spans="1:5" x14ac:dyDescent="0.2">
      <c r="A34" s="4"/>
      <c r="B34" s="4"/>
      <c r="C34" s="4"/>
      <c r="D34" s="4"/>
      <c r="E34" s="4"/>
    </row>
    <row r="35" spans="1:5" x14ac:dyDescent="0.2">
      <c r="A35" s="11" t="s">
        <v>100</v>
      </c>
      <c r="B35" s="11"/>
      <c r="C35" s="12">
        <f>C33-C32</f>
        <v>74.299999999999727</v>
      </c>
      <c r="D35" s="11"/>
      <c r="E35" s="11"/>
    </row>
    <row r="38" spans="1:5" x14ac:dyDescent="0.2">
      <c r="A38" t="s">
        <v>51</v>
      </c>
      <c r="B38">
        <v>2202.0300000000002</v>
      </c>
    </row>
    <row r="39" spans="1:5" x14ac:dyDescent="0.2">
      <c r="A39" t="s">
        <v>52</v>
      </c>
      <c r="B39">
        <v>1000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I39"/>
  <sheetViews>
    <sheetView topLeftCell="A7" workbookViewId="0">
      <selection activeCell="A28" sqref="A28:XFD28"/>
    </sheetView>
  </sheetViews>
  <sheetFormatPr baseColWidth="10" defaultColWidth="8.83203125" defaultRowHeight="15" x14ac:dyDescent="0.2"/>
  <cols>
    <col min="1" max="1" width="40.5" bestFit="1" customWidth="1"/>
    <col min="2" max="2" width="12.1640625" bestFit="1" customWidth="1"/>
    <col min="3" max="3" width="23.33203125" bestFit="1" customWidth="1"/>
    <col min="4" max="4" width="9.33203125" bestFit="1" customWidth="1"/>
    <col min="5" max="5" width="21.83203125" bestFit="1" customWidth="1"/>
    <col min="6" max="6" width="18.5" bestFit="1" customWidth="1"/>
  </cols>
  <sheetData>
    <row r="1" spans="1:6" ht="21" x14ac:dyDescent="0.25">
      <c r="A1" s="1" t="s">
        <v>89</v>
      </c>
    </row>
    <row r="2" spans="1:6" x14ac:dyDescent="0.2">
      <c r="C2" s="144"/>
      <c r="D2" s="144"/>
    </row>
    <row r="3" spans="1:6" x14ac:dyDescent="0.2">
      <c r="A3" s="17" t="s">
        <v>90</v>
      </c>
      <c r="B3" s="4"/>
      <c r="C3" s="5"/>
      <c r="D3" s="18" t="s">
        <v>24</v>
      </c>
      <c r="E3" s="4"/>
      <c r="F3" s="6" t="s">
        <v>23</v>
      </c>
    </row>
    <row r="4" spans="1:6" s="24" customFormat="1" x14ac:dyDescent="0.2">
      <c r="A4" s="20" t="s">
        <v>93</v>
      </c>
      <c r="B4" s="20"/>
      <c r="C4" s="22"/>
      <c r="D4" s="22">
        <v>878.6</v>
      </c>
      <c r="E4" s="22"/>
      <c r="F4" s="22">
        <v>361.4</v>
      </c>
    </row>
    <row r="5" spans="1:6" s="24" customFormat="1" x14ac:dyDescent="0.2">
      <c r="A5" s="20" t="s">
        <v>94</v>
      </c>
      <c r="B5" s="20"/>
      <c r="C5" s="23"/>
      <c r="D5" s="22">
        <v>515.82000000000005</v>
      </c>
      <c r="E5" s="20"/>
      <c r="F5" s="22">
        <v>584.17999999999995</v>
      </c>
    </row>
    <row r="6" spans="1:6" s="24" customFormat="1" x14ac:dyDescent="0.2">
      <c r="A6" s="20" t="s">
        <v>95</v>
      </c>
      <c r="B6" s="20"/>
      <c r="C6" s="22"/>
      <c r="D6" s="22">
        <v>907.41</v>
      </c>
      <c r="E6" s="22"/>
      <c r="F6" s="22">
        <v>332.59</v>
      </c>
    </row>
    <row r="7" spans="1:6" s="26" customFormat="1" x14ac:dyDescent="0.2">
      <c r="A7" s="25" t="s">
        <v>96</v>
      </c>
      <c r="B7" s="25"/>
      <c r="C7" s="25"/>
      <c r="D7" s="33">
        <v>472.45</v>
      </c>
      <c r="E7" s="25"/>
      <c r="F7" s="33">
        <v>281.25</v>
      </c>
    </row>
    <row r="8" spans="1:6" s="26" customFormat="1" x14ac:dyDescent="0.2">
      <c r="A8" s="25"/>
      <c r="B8" s="25"/>
      <c r="C8" s="25"/>
      <c r="D8" s="25"/>
      <c r="E8" s="25"/>
      <c r="F8" s="33"/>
    </row>
    <row r="9" spans="1:6" x14ac:dyDescent="0.2">
      <c r="D9" s="19">
        <f>D4+D5+D6+D7</f>
        <v>2774.2799999999997</v>
      </c>
      <c r="F9" s="19">
        <f>F4+F5+F6+F7+F8</f>
        <v>1559.4199999999998</v>
      </c>
    </row>
    <row r="10" spans="1:6" x14ac:dyDescent="0.2">
      <c r="A10" s="2"/>
      <c r="B10" s="2"/>
      <c r="C10" s="2"/>
      <c r="D10" s="2"/>
      <c r="E10" s="2"/>
    </row>
    <row r="11" spans="1:6" x14ac:dyDescent="0.2">
      <c r="A11" s="2"/>
      <c r="B11" s="2"/>
      <c r="C11" s="2"/>
      <c r="D11" s="2"/>
      <c r="E11" s="2"/>
    </row>
    <row r="12" spans="1:6" x14ac:dyDescent="0.2">
      <c r="A12" s="3" t="s">
        <v>1</v>
      </c>
      <c r="B12" s="4"/>
      <c r="C12" s="3" t="s">
        <v>2</v>
      </c>
      <c r="D12" s="4"/>
      <c r="E12" s="3" t="s">
        <v>3</v>
      </c>
    </row>
    <row r="13" spans="1:6" x14ac:dyDescent="0.2">
      <c r="A13" s="3" t="s">
        <v>12</v>
      </c>
      <c r="B13" s="4"/>
      <c r="C13" s="3"/>
      <c r="D13" s="4"/>
      <c r="E13" s="3"/>
    </row>
    <row r="14" spans="1:6" s="24" customFormat="1" x14ac:dyDescent="0.2">
      <c r="A14" s="20" t="s">
        <v>60</v>
      </c>
      <c r="B14" s="20"/>
      <c r="C14" s="20">
        <v>90.86</v>
      </c>
      <c r="D14" s="20"/>
      <c r="E14" s="20">
        <v>90.86</v>
      </c>
    </row>
    <row r="15" spans="1:6" s="24" customFormat="1" x14ac:dyDescent="0.2">
      <c r="A15" s="20" t="s">
        <v>59</v>
      </c>
      <c r="B15" s="20"/>
      <c r="C15" s="21">
        <v>787.74</v>
      </c>
      <c r="D15" s="20"/>
      <c r="E15" s="21">
        <v>787.74</v>
      </c>
      <c r="F15" s="34"/>
    </row>
    <row r="16" spans="1:6" s="24" customFormat="1" x14ac:dyDescent="0.2">
      <c r="A16" s="20" t="s">
        <v>61</v>
      </c>
      <c r="B16" s="20"/>
      <c r="C16" s="21">
        <v>356.1</v>
      </c>
      <c r="D16" s="20"/>
      <c r="E16" s="21">
        <v>356.1</v>
      </c>
      <c r="F16" s="34"/>
    </row>
    <row r="17" spans="1:399" s="24" customFormat="1" x14ac:dyDescent="0.2">
      <c r="A17" s="20" t="s">
        <v>62</v>
      </c>
      <c r="B17" s="20"/>
      <c r="C17" s="21">
        <v>45</v>
      </c>
      <c r="D17" s="20"/>
      <c r="E17" s="21">
        <v>45</v>
      </c>
    </row>
    <row r="18" spans="1:399" s="24" customFormat="1" x14ac:dyDescent="0.2">
      <c r="A18" s="20" t="s">
        <v>63</v>
      </c>
      <c r="B18" s="20"/>
      <c r="C18" s="21">
        <v>7.25</v>
      </c>
      <c r="D18" s="20"/>
      <c r="E18" s="21">
        <v>7.25</v>
      </c>
    </row>
    <row r="19" spans="1:399" s="24" customFormat="1" x14ac:dyDescent="0.2">
      <c r="A19" s="20" t="s">
        <v>64</v>
      </c>
      <c r="B19" s="20"/>
      <c r="C19" s="21">
        <v>7.47</v>
      </c>
      <c r="D19" s="20"/>
      <c r="E19" s="21">
        <v>7.47</v>
      </c>
    </row>
    <row r="20" spans="1:399" s="24" customFormat="1" x14ac:dyDescent="0.2">
      <c r="A20" s="20" t="s">
        <v>65</v>
      </c>
      <c r="B20" s="20"/>
      <c r="C20" s="21">
        <v>75</v>
      </c>
      <c r="D20" s="20"/>
      <c r="E20" s="21">
        <v>75</v>
      </c>
      <c r="F20" s="34"/>
    </row>
    <row r="21" spans="1:399" s="24" customFormat="1" x14ac:dyDescent="0.2">
      <c r="A21" s="20" t="s">
        <v>66</v>
      </c>
      <c r="B21" s="20"/>
      <c r="C21" s="21">
        <v>25</v>
      </c>
      <c r="D21" s="20"/>
      <c r="E21" s="21">
        <v>25</v>
      </c>
    </row>
    <row r="22" spans="1:399" s="31" customFormat="1" x14ac:dyDescent="0.2">
      <c r="A22" s="29"/>
      <c r="B22" s="29"/>
      <c r="C22" s="30"/>
      <c r="D22" s="29"/>
      <c r="E22" s="30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6"/>
      <c r="JT22" s="26"/>
      <c r="JU22" s="26"/>
      <c r="JV22" s="26"/>
      <c r="JW22" s="26"/>
      <c r="JX22" s="26"/>
      <c r="JY22" s="26"/>
      <c r="JZ22" s="26"/>
      <c r="KA22" s="26"/>
      <c r="KB22" s="26"/>
      <c r="KC22" s="26"/>
      <c r="KD22" s="26"/>
      <c r="KE22" s="26"/>
      <c r="KF22" s="26"/>
      <c r="KG22" s="26"/>
      <c r="KH22" s="26"/>
      <c r="KI22" s="26"/>
      <c r="KJ22" s="26"/>
      <c r="KK22" s="26"/>
      <c r="KL22" s="26"/>
      <c r="KM22" s="26"/>
      <c r="KN22" s="26"/>
      <c r="KO22" s="26"/>
      <c r="KP22" s="26"/>
      <c r="KQ22" s="26"/>
      <c r="KR22" s="26"/>
      <c r="KS22" s="26"/>
      <c r="KT22" s="26"/>
      <c r="KU22" s="26"/>
      <c r="KV22" s="26"/>
      <c r="KW22" s="26"/>
      <c r="KX22" s="26"/>
      <c r="KY22" s="26"/>
      <c r="KZ22" s="26"/>
      <c r="LA22" s="26"/>
      <c r="LB22" s="26"/>
      <c r="LC22" s="26"/>
      <c r="LD22" s="26"/>
      <c r="LE22" s="26"/>
      <c r="LF22" s="26"/>
      <c r="LG22" s="26"/>
      <c r="LH22" s="26"/>
      <c r="LI22" s="26"/>
      <c r="LJ22" s="26"/>
      <c r="LK22" s="26"/>
      <c r="LL22" s="26"/>
      <c r="LM22" s="26"/>
      <c r="LN22" s="26"/>
      <c r="LO22" s="26"/>
      <c r="LP22" s="26"/>
      <c r="LQ22" s="26"/>
      <c r="LR22" s="26"/>
      <c r="LS22" s="26"/>
      <c r="LT22" s="26"/>
      <c r="LU22" s="26"/>
      <c r="LV22" s="26"/>
      <c r="LW22" s="26"/>
      <c r="LX22" s="26"/>
      <c r="LY22" s="26"/>
      <c r="LZ22" s="26"/>
      <c r="MA22" s="26"/>
      <c r="MB22" s="26"/>
      <c r="MC22" s="26"/>
      <c r="MD22" s="26"/>
      <c r="ME22" s="26"/>
      <c r="MF22" s="26"/>
      <c r="MG22" s="26"/>
      <c r="MH22" s="26"/>
      <c r="MI22" s="26"/>
      <c r="MJ22" s="26"/>
      <c r="MK22" s="26"/>
      <c r="ML22" s="26"/>
      <c r="MM22" s="26"/>
      <c r="MN22" s="26"/>
      <c r="MO22" s="26"/>
      <c r="MP22" s="26"/>
      <c r="MQ22" s="26"/>
      <c r="MR22" s="26"/>
      <c r="MS22" s="26"/>
      <c r="MT22" s="26"/>
      <c r="MU22" s="26"/>
      <c r="MV22" s="26"/>
      <c r="MW22" s="26"/>
      <c r="MX22" s="26"/>
      <c r="MY22" s="26"/>
      <c r="MZ22" s="26"/>
      <c r="NA22" s="26"/>
      <c r="NB22" s="26"/>
      <c r="NC22" s="26"/>
      <c r="ND22" s="26"/>
      <c r="NE22" s="26"/>
      <c r="NF22" s="26"/>
      <c r="NG22" s="26"/>
      <c r="NH22" s="26"/>
      <c r="NI22" s="26"/>
      <c r="NJ22" s="26"/>
      <c r="NK22" s="26"/>
      <c r="NL22" s="26"/>
      <c r="NM22" s="26"/>
      <c r="NN22" s="26"/>
      <c r="NO22" s="26"/>
      <c r="NP22" s="26"/>
      <c r="NQ22" s="26"/>
      <c r="NR22" s="26"/>
      <c r="NS22" s="26"/>
      <c r="NT22" s="26"/>
      <c r="NU22" s="26"/>
      <c r="NV22" s="26"/>
      <c r="NW22" s="26"/>
      <c r="NX22" s="26"/>
      <c r="NY22" s="26"/>
      <c r="NZ22" s="26"/>
      <c r="OA22" s="26"/>
      <c r="OB22" s="26"/>
      <c r="OC22" s="26"/>
      <c r="OD22" s="26"/>
      <c r="OE22" s="26"/>
      <c r="OF22" s="26"/>
      <c r="OG22" s="26"/>
      <c r="OH22" s="26"/>
      <c r="OI22" s="26"/>
    </row>
    <row r="23" spans="1:399" s="26" customFormat="1" x14ac:dyDescent="0.2">
      <c r="A23" s="32" t="s">
        <v>13</v>
      </c>
      <c r="B23" s="25"/>
      <c r="C23" s="27"/>
      <c r="D23" s="25"/>
      <c r="E23" s="27"/>
    </row>
    <row r="24" spans="1:399" s="24" customFormat="1" x14ac:dyDescent="0.2">
      <c r="A24" s="20" t="s">
        <v>72</v>
      </c>
      <c r="B24" s="20"/>
      <c r="C24" s="21">
        <v>457.42</v>
      </c>
      <c r="D24" s="20"/>
      <c r="E24" s="21">
        <v>457.42</v>
      </c>
      <c r="F24" s="34"/>
    </row>
    <row r="25" spans="1:399" s="24" customFormat="1" x14ac:dyDescent="0.2">
      <c r="A25" s="20" t="s">
        <v>79</v>
      </c>
      <c r="B25" s="20"/>
      <c r="C25" s="21">
        <v>138.44</v>
      </c>
      <c r="D25" s="20"/>
      <c r="E25" s="21">
        <v>138.44</v>
      </c>
      <c r="F25" s="34"/>
    </row>
    <row r="26" spans="1:399" s="24" customFormat="1" x14ac:dyDescent="0.2">
      <c r="A26" s="20" t="s">
        <v>73</v>
      </c>
      <c r="B26" s="20"/>
      <c r="C26" s="21">
        <v>311.55</v>
      </c>
      <c r="D26" s="20"/>
      <c r="E26" s="21">
        <v>311.55</v>
      </c>
      <c r="F26" s="34"/>
    </row>
    <row r="27" spans="1:399" s="24" customFormat="1" x14ac:dyDescent="0.2">
      <c r="A27" s="20" t="s">
        <v>75</v>
      </c>
      <c r="B27" s="20"/>
      <c r="C27" s="21">
        <v>135.30000000000001</v>
      </c>
      <c r="D27" s="20"/>
      <c r="E27" s="21">
        <v>135.30000000000001</v>
      </c>
    </row>
    <row r="28" spans="1:399" s="24" customFormat="1" x14ac:dyDescent="0.2">
      <c r="A28" s="20" t="s">
        <v>76</v>
      </c>
      <c r="B28" s="20"/>
      <c r="C28" s="21">
        <v>14.99</v>
      </c>
      <c r="D28" s="20"/>
      <c r="E28" s="21">
        <v>14.99</v>
      </c>
    </row>
    <row r="29" spans="1:399" s="24" customFormat="1" x14ac:dyDescent="0.2">
      <c r="A29" s="20" t="s">
        <v>77</v>
      </c>
      <c r="B29" s="20"/>
      <c r="C29" s="21">
        <v>190</v>
      </c>
      <c r="D29" s="20"/>
      <c r="E29" s="21">
        <v>190</v>
      </c>
    </row>
    <row r="30" spans="1:399" s="24" customFormat="1" x14ac:dyDescent="0.2">
      <c r="A30" s="20" t="s">
        <v>78</v>
      </c>
      <c r="B30" s="20"/>
      <c r="C30" s="21">
        <v>132.16</v>
      </c>
      <c r="D30" s="20"/>
      <c r="E30" s="21">
        <v>132</v>
      </c>
    </row>
    <row r="31" spans="1:399" x14ac:dyDescent="0.2">
      <c r="A31" s="10"/>
      <c r="B31" s="10"/>
      <c r="C31" s="10"/>
      <c r="D31" s="10"/>
      <c r="E31" s="10"/>
    </row>
    <row r="32" spans="1:399" x14ac:dyDescent="0.2">
      <c r="A32" s="8" t="s">
        <v>5</v>
      </c>
      <c r="B32" s="8"/>
      <c r="C32" s="9">
        <f>C14+C15+C16+C17+C18+C19+C21+C24+C25+C26+C27+C28+C29+C30</f>
        <v>2699.28</v>
      </c>
      <c r="D32" s="4"/>
      <c r="E32" s="4"/>
    </row>
    <row r="33" spans="1:5" x14ac:dyDescent="0.2">
      <c r="A33" s="4" t="s">
        <v>91</v>
      </c>
      <c r="B33" s="4"/>
      <c r="C33" s="7">
        <f>F9+D9</f>
        <v>4333.7</v>
      </c>
      <c r="D33" s="4"/>
      <c r="E33" s="4"/>
    </row>
    <row r="34" spans="1:5" x14ac:dyDescent="0.2">
      <c r="A34" s="4"/>
      <c r="B34" s="4"/>
      <c r="C34" s="4"/>
      <c r="D34" s="4"/>
      <c r="E34" s="4"/>
    </row>
    <row r="35" spans="1:5" x14ac:dyDescent="0.2">
      <c r="A35" s="11" t="s">
        <v>92</v>
      </c>
      <c r="B35" s="11"/>
      <c r="C35" s="12">
        <f>C33-C32</f>
        <v>1634.4199999999996</v>
      </c>
      <c r="D35" s="11"/>
      <c r="E35" s="11"/>
    </row>
    <row r="38" spans="1:5" x14ac:dyDescent="0.2">
      <c r="A38" t="s">
        <v>51</v>
      </c>
      <c r="B38">
        <v>2202.0300000000002</v>
      </c>
    </row>
    <row r="39" spans="1:5" x14ac:dyDescent="0.2">
      <c r="A39" t="s">
        <v>52</v>
      </c>
      <c r="B39">
        <v>1000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I39"/>
  <sheetViews>
    <sheetView topLeftCell="A5" workbookViewId="0">
      <selection activeCell="A28" sqref="A28:XFD28"/>
    </sheetView>
  </sheetViews>
  <sheetFormatPr baseColWidth="10" defaultColWidth="8.83203125" defaultRowHeight="15" x14ac:dyDescent="0.2"/>
  <cols>
    <col min="1" max="1" width="40.5" bestFit="1" customWidth="1"/>
    <col min="2" max="2" width="12.1640625" bestFit="1" customWidth="1"/>
    <col min="3" max="3" width="23.33203125" bestFit="1" customWidth="1"/>
    <col min="4" max="4" width="9.33203125" bestFit="1" customWidth="1"/>
    <col min="5" max="5" width="21.83203125" bestFit="1" customWidth="1"/>
    <col min="6" max="6" width="17.5" bestFit="1" customWidth="1"/>
  </cols>
  <sheetData>
    <row r="1" spans="1:6" ht="21" x14ac:dyDescent="0.25">
      <c r="A1" s="1" t="s">
        <v>80</v>
      </c>
    </row>
    <row r="2" spans="1:6" x14ac:dyDescent="0.2">
      <c r="C2" s="144"/>
      <c r="D2" s="144"/>
    </row>
    <row r="3" spans="1:6" x14ac:dyDescent="0.2">
      <c r="A3" s="17" t="s">
        <v>81</v>
      </c>
      <c r="B3" s="4"/>
      <c r="C3" s="5"/>
      <c r="D3" s="18" t="s">
        <v>24</v>
      </c>
      <c r="E3" s="4"/>
      <c r="F3" s="6" t="s">
        <v>23</v>
      </c>
    </row>
    <row r="4" spans="1:6" s="24" customFormat="1" x14ac:dyDescent="0.2">
      <c r="A4" s="20" t="s">
        <v>84</v>
      </c>
      <c r="B4" s="20"/>
      <c r="C4" s="22"/>
      <c r="D4" s="22"/>
      <c r="E4" s="22"/>
      <c r="F4" s="22"/>
    </row>
    <row r="5" spans="1:6" s="24" customFormat="1" x14ac:dyDescent="0.2">
      <c r="A5" s="20" t="s">
        <v>85</v>
      </c>
      <c r="B5" s="20"/>
      <c r="C5" s="23"/>
      <c r="D5" s="22"/>
      <c r="E5" s="20"/>
      <c r="F5" s="22"/>
    </row>
    <row r="6" spans="1:6" s="24" customFormat="1" x14ac:dyDescent="0.2">
      <c r="A6" s="20" t="s">
        <v>86</v>
      </c>
      <c r="B6" s="20"/>
      <c r="C6" s="22"/>
      <c r="D6" s="22">
        <v>514.82000000000005</v>
      </c>
      <c r="E6" s="22"/>
      <c r="F6" s="22">
        <v>585.17999999999995</v>
      </c>
    </row>
    <row r="7" spans="1:6" s="24" customFormat="1" x14ac:dyDescent="0.2">
      <c r="A7" s="20" t="s">
        <v>87</v>
      </c>
      <c r="B7" s="20"/>
      <c r="C7" s="20"/>
      <c r="D7" s="22">
        <v>907.39</v>
      </c>
      <c r="E7" s="20"/>
      <c r="F7" s="22">
        <v>332.61</v>
      </c>
    </row>
    <row r="8" spans="1:6" s="24" customFormat="1" x14ac:dyDescent="0.2">
      <c r="A8" s="20" t="s">
        <v>88</v>
      </c>
      <c r="B8" s="20"/>
      <c r="C8" s="20"/>
      <c r="D8" s="20">
        <v>578.11</v>
      </c>
      <c r="E8" s="20"/>
      <c r="F8" s="22">
        <v>521.89</v>
      </c>
    </row>
    <row r="9" spans="1:6" x14ac:dyDescent="0.2">
      <c r="D9" s="19">
        <f>D4+D5+D6+D7</f>
        <v>1422.21</v>
      </c>
      <c r="F9" s="19">
        <f>F4+F5+F6+F7+F8</f>
        <v>1439.6799999999998</v>
      </c>
    </row>
    <row r="10" spans="1:6" x14ac:dyDescent="0.2">
      <c r="A10" s="2"/>
      <c r="B10" s="2"/>
      <c r="C10" s="2"/>
      <c r="D10" s="2"/>
      <c r="E10" s="2"/>
    </row>
    <row r="11" spans="1:6" x14ac:dyDescent="0.2">
      <c r="A11" s="2"/>
      <c r="B11" s="2"/>
      <c r="C11" s="2"/>
      <c r="D11" s="2"/>
      <c r="E11" s="2"/>
    </row>
    <row r="12" spans="1:6" x14ac:dyDescent="0.2">
      <c r="A12" s="3" t="s">
        <v>1</v>
      </c>
      <c r="B12" s="4"/>
      <c r="C12" s="3" t="s">
        <v>2</v>
      </c>
      <c r="D12" s="4"/>
      <c r="E12" s="3" t="s">
        <v>3</v>
      </c>
    </row>
    <row r="13" spans="1:6" x14ac:dyDescent="0.2">
      <c r="A13" s="3" t="s">
        <v>12</v>
      </c>
      <c r="B13" s="4"/>
      <c r="C13" s="3"/>
      <c r="D13" s="4"/>
      <c r="E13" s="3"/>
    </row>
    <row r="14" spans="1:6" s="24" customFormat="1" x14ac:dyDescent="0.2">
      <c r="A14" s="20" t="s">
        <v>60</v>
      </c>
      <c r="B14" s="20"/>
      <c r="C14" s="20">
        <v>90.86</v>
      </c>
      <c r="D14" s="20"/>
      <c r="E14" s="20">
        <v>90.86</v>
      </c>
    </row>
    <row r="15" spans="1:6" s="24" customFormat="1" x14ac:dyDescent="0.2">
      <c r="A15" s="20" t="s">
        <v>59</v>
      </c>
      <c r="B15" s="20"/>
      <c r="C15" s="21">
        <v>787.74</v>
      </c>
      <c r="D15" s="20"/>
      <c r="E15" s="21">
        <v>787.74</v>
      </c>
    </row>
    <row r="16" spans="1:6" s="24" customFormat="1" x14ac:dyDescent="0.2">
      <c r="A16" s="20" t="s">
        <v>61</v>
      </c>
      <c r="B16" s="20"/>
      <c r="C16" s="21">
        <v>356.1</v>
      </c>
      <c r="D16" s="20"/>
      <c r="E16" s="21">
        <v>356.1</v>
      </c>
    </row>
    <row r="17" spans="1:399" s="24" customFormat="1" x14ac:dyDescent="0.2">
      <c r="A17" s="20" t="s">
        <v>62</v>
      </c>
      <c r="B17" s="20"/>
      <c r="C17" s="21">
        <v>45</v>
      </c>
      <c r="D17" s="20"/>
      <c r="E17" s="21">
        <v>45</v>
      </c>
    </row>
    <row r="18" spans="1:399" s="24" customFormat="1" x14ac:dyDescent="0.2">
      <c r="A18" s="20" t="s">
        <v>63</v>
      </c>
      <c r="B18" s="20"/>
      <c r="C18" s="21">
        <v>7.25</v>
      </c>
      <c r="D18" s="20"/>
      <c r="E18" s="21">
        <v>7.25</v>
      </c>
    </row>
    <row r="19" spans="1:399" s="24" customFormat="1" x14ac:dyDescent="0.2">
      <c r="A19" s="20" t="s">
        <v>64</v>
      </c>
      <c r="B19" s="20"/>
      <c r="C19" s="21">
        <v>7.47</v>
      </c>
      <c r="D19" s="20"/>
      <c r="E19" s="21">
        <v>7.47</v>
      </c>
    </row>
    <row r="20" spans="1:399" s="24" customFormat="1" x14ac:dyDescent="0.2">
      <c r="A20" s="20" t="s">
        <v>65</v>
      </c>
      <c r="B20" s="20"/>
      <c r="C20" s="21">
        <v>75</v>
      </c>
      <c r="D20" s="20"/>
      <c r="E20" s="21">
        <v>75</v>
      </c>
    </row>
    <row r="21" spans="1:399" s="24" customFormat="1" x14ac:dyDescent="0.2">
      <c r="A21" s="20" t="s">
        <v>66</v>
      </c>
      <c r="B21" s="20"/>
      <c r="C21" s="21">
        <v>24</v>
      </c>
      <c r="D21" s="20"/>
      <c r="E21" s="21"/>
    </row>
    <row r="22" spans="1:399" s="31" customFormat="1" x14ac:dyDescent="0.2">
      <c r="A22" s="29"/>
      <c r="B22" s="29"/>
      <c r="C22" s="30"/>
      <c r="D22" s="29"/>
      <c r="E22" s="30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6"/>
      <c r="JT22" s="26"/>
      <c r="JU22" s="26"/>
      <c r="JV22" s="26"/>
      <c r="JW22" s="26"/>
      <c r="JX22" s="26"/>
      <c r="JY22" s="26"/>
      <c r="JZ22" s="26"/>
      <c r="KA22" s="26"/>
      <c r="KB22" s="26"/>
      <c r="KC22" s="26"/>
      <c r="KD22" s="26"/>
      <c r="KE22" s="26"/>
      <c r="KF22" s="26"/>
      <c r="KG22" s="26"/>
      <c r="KH22" s="26"/>
      <c r="KI22" s="26"/>
      <c r="KJ22" s="26"/>
      <c r="KK22" s="26"/>
      <c r="KL22" s="26"/>
      <c r="KM22" s="26"/>
      <c r="KN22" s="26"/>
      <c r="KO22" s="26"/>
      <c r="KP22" s="26"/>
      <c r="KQ22" s="26"/>
      <c r="KR22" s="26"/>
      <c r="KS22" s="26"/>
      <c r="KT22" s="26"/>
      <c r="KU22" s="26"/>
      <c r="KV22" s="26"/>
      <c r="KW22" s="26"/>
      <c r="KX22" s="26"/>
      <c r="KY22" s="26"/>
      <c r="KZ22" s="26"/>
      <c r="LA22" s="26"/>
      <c r="LB22" s="26"/>
      <c r="LC22" s="26"/>
      <c r="LD22" s="26"/>
      <c r="LE22" s="26"/>
      <c r="LF22" s="26"/>
      <c r="LG22" s="26"/>
      <c r="LH22" s="26"/>
      <c r="LI22" s="26"/>
      <c r="LJ22" s="26"/>
      <c r="LK22" s="26"/>
      <c r="LL22" s="26"/>
      <c r="LM22" s="26"/>
      <c r="LN22" s="26"/>
      <c r="LO22" s="26"/>
      <c r="LP22" s="26"/>
      <c r="LQ22" s="26"/>
      <c r="LR22" s="26"/>
      <c r="LS22" s="26"/>
      <c r="LT22" s="26"/>
      <c r="LU22" s="26"/>
      <c r="LV22" s="26"/>
      <c r="LW22" s="26"/>
      <c r="LX22" s="26"/>
      <c r="LY22" s="26"/>
      <c r="LZ22" s="26"/>
      <c r="MA22" s="26"/>
      <c r="MB22" s="26"/>
      <c r="MC22" s="26"/>
      <c r="MD22" s="26"/>
      <c r="ME22" s="26"/>
      <c r="MF22" s="26"/>
      <c r="MG22" s="26"/>
      <c r="MH22" s="26"/>
      <c r="MI22" s="26"/>
      <c r="MJ22" s="26"/>
      <c r="MK22" s="26"/>
      <c r="ML22" s="26"/>
      <c r="MM22" s="26"/>
      <c r="MN22" s="26"/>
      <c r="MO22" s="26"/>
      <c r="MP22" s="26"/>
      <c r="MQ22" s="26"/>
      <c r="MR22" s="26"/>
      <c r="MS22" s="26"/>
      <c r="MT22" s="26"/>
      <c r="MU22" s="26"/>
      <c r="MV22" s="26"/>
      <c r="MW22" s="26"/>
      <c r="MX22" s="26"/>
      <c r="MY22" s="26"/>
      <c r="MZ22" s="26"/>
      <c r="NA22" s="26"/>
      <c r="NB22" s="26"/>
      <c r="NC22" s="26"/>
      <c r="ND22" s="26"/>
      <c r="NE22" s="26"/>
      <c r="NF22" s="26"/>
      <c r="NG22" s="26"/>
      <c r="NH22" s="26"/>
      <c r="NI22" s="26"/>
      <c r="NJ22" s="26"/>
      <c r="NK22" s="26"/>
      <c r="NL22" s="26"/>
      <c r="NM22" s="26"/>
      <c r="NN22" s="26"/>
      <c r="NO22" s="26"/>
      <c r="NP22" s="26"/>
      <c r="NQ22" s="26"/>
      <c r="NR22" s="26"/>
      <c r="NS22" s="26"/>
      <c r="NT22" s="26"/>
      <c r="NU22" s="26"/>
      <c r="NV22" s="26"/>
      <c r="NW22" s="26"/>
      <c r="NX22" s="26"/>
      <c r="NY22" s="26"/>
      <c r="NZ22" s="26"/>
      <c r="OA22" s="26"/>
      <c r="OB22" s="26"/>
      <c r="OC22" s="26"/>
      <c r="OD22" s="26"/>
      <c r="OE22" s="26"/>
      <c r="OF22" s="26"/>
      <c r="OG22" s="26"/>
      <c r="OH22" s="26"/>
      <c r="OI22" s="26"/>
    </row>
    <row r="23" spans="1:399" s="26" customFormat="1" x14ac:dyDescent="0.2">
      <c r="A23" s="32" t="s">
        <v>13</v>
      </c>
      <c r="B23" s="25"/>
      <c r="C23" s="27"/>
      <c r="D23" s="25"/>
      <c r="E23" s="27"/>
    </row>
    <row r="24" spans="1:399" s="24" customFormat="1" x14ac:dyDescent="0.2">
      <c r="A24" s="20" t="s">
        <v>72</v>
      </c>
      <c r="B24" s="20"/>
      <c r="C24" s="21">
        <v>457.42</v>
      </c>
      <c r="D24" s="20"/>
      <c r="E24" s="21">
        <v>457.42</v>
      </c>
    </row>
    <row r="25" spans="1:399" s="24" customFormat="1" x14ac:dyDescent="0.2">
      <c r="A25" s="20" t="s">
        <v>79</v>
      </c>
      <c r="B25" s="20"/>
      <c r="C25" s="21">
        <v>138.41999999999999</v>
      </c>
      <c r="D25" s="20"/>
      <c r="E25" s="21">
        <v>138.41999999999999</v>
      </c>
    </row>
    <row r="26" spans="1:399" s="24" customFormat="1" x14ac:dyDescent="0.2">
      <c r="A26" s="20" t="s">
        <v>73</v>
      </c>
      <c r="B26" s="20"/>
      <c r="C26" s="21">
        <v>311.55</v>
      </c>
      <c r="D26" s="20"/>
      <c r="E26" s="21">
        <v>311.55</v>
      </c>
    </row>
    <row r="27" spans="1:399" s="24" customFormat="1" x14ac:dyDescent="0.2">
      <c r="A27" s="20" t="s">
        <v>75</v>
      </c>
      <c r="B27" s="20"/>
      <c r="C27" s="21">
        <v>130.96</v>
      </c>
      <c r="D27" s="20"/>
      <c r="E27" s="21">
        <v>130.96</v>
      </c>
    </row>
    <row r="28" spans="1:399" s="24" customFormat="1" x14ac:dyDescent="0.2">
      <c r="A28" s="20" t="s">
        <v>76</v>
      </c>
      <c r="B28" s="20"/>
      <c r="C28" s="21">
        <v>14.99</v>
      </c>
      <c r="D28" s="20"/>
      <c r="E28" s="21">
        <v>14.99</v>
      </c>
    </row>
    <row r="29" spans="1:399" s="24" customFormat="1" x14ac:dyDescent="0.2">
      <c r="A29" s="20" t="s">
        <v>77</v>
      </c>
      <c r="B29" s="20"/>
      <c r="C29" s="21">
        <v>298.69</v>
      </c>
      <c r="D29" s="20"/>
      <c r="E29" s="21">
        <v>298.69</v>
      </c>
    </row>
    <row r="30" spans="1:399" s="24" customFormat="1" x14ac:dyDescent="0.2">
      <c r="A30" s="20" t="s">
        <v>78</v>
      </c>
      <c r="B30" s="20"/>
      <c r="C30" s="21">
        <v>132.16</v>
      </c>
      <c r="D30" s="20"/>
      <c r="E30" s="21">
        <v>132</v>
      </c>
    </row>
    <row r="31" spans="1:399" x14ac:dyDescent="0.2">
      <c r="A31" s="10"/>
      <c r="B31" s="10"/>
      <c r="C31" s="10"/>
      <c r="D31" s="10"/>
      <c r="E31" s="10"/>
    </row>
    <row r="32" spans="1:399" x14ac:dyDescent="0.2">
      <c r="A32" s="8" t="s">
        <v>5</v>
      </c>
      <c r="B32" s="8"/>
      <c r="C32" s="9">
        <f>C14+C15+C16+C17+C18+C19+C21+C24+C25+C26+C27+C28+C29+C30</f>
        <v>2802.61</v>
      </c>
      <c r="D32" s="4"/>
      <c r="E32" s="4"/>
    </row>
    <row r="33" spans="1:5" x14ac:dyDescent="0.2">
      <c r="A33" s="4" t="s">
        <v>82</v>
      </c>
      <c r="B33" s="4"/>
      <c r="C33" s="7">
        <f>F9+D9</f>
        <v>2861.89</v>
      </c>
      <c r="D33" s="4"/>
      <c r="E33" s="4"/>
    </row>
    <row r="34" spans="1:5" x14ac:dyDescent="0.2">
      <c r="A34" s="4"/>
      <c r="B34" s="4"/>
      <c r="C34" s="4"/>
      <c r="D34" s="4"/>
      <c r="E34" s="4"/>
    </row>
    <row r="35" spans="1:5" x14ac:dyDescent="0.2">
      <c r="A35" s="11" t="s">
        <v>83</v>
      </c>
      <c r="B35" s="11"/>
      <c r="C35" s="12">
        <f>C33-C32</f>
        <v>59.279999999999745</v>
      </c>
      <c r="D35" s="11"/>
      <c r="E35" s="11"/>
    </row>
    <row r="38" spans="1:5" x14ac:dyDescent="0.2">
      <c r="A38" t="s">
        <v>51</v>
      </c>
      <c r="B38">
        <v>2202.0300000000002</v>
      </c>
    </row>
    <row r="39" spans="1:5" x14ac:dyDescent="0.2">
      <c r="A39" t="s">
        <v>52</v>
      </c>
      <c r="B39">
        <v>1000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OI40"/>
  <sheetViews>
    <sheetView topLeftCell="A4" workbookViewId="0">
      <selection activeCell="A29" sqref="A29:XFD29"/>
    </sheetView>
  </sheetViews>
  <sheetFormatPr baseColWidth="10" defaultColWidth="8.83203125" defaultRowHeight="15" x14ac:dyDescent="0.2"/>
  <cols>
    <col min="1" max="1" width="40.5" bestFit="1" customWidth="1"/>
    <col min="2" max="2" width="12.1640625" bestFit="1" customWidth="1"/>
    <col min="3" max="3" width="23.33203125" bestFit="1" customWidth="1"/>
    <col min="4" max="4" width="9.33203125" bestFit="1" customWidth="1"/>
    <col min="5" max="5" width="21.83203125" bestFit="1" customWidth="1"/>
    <col min="6" max="6" width="17.5" bestFit="1" customWidth="1"/>
  </cols>
  <sheetData>
    <row r="1" spans="1:11" ht="21" x14ac:dyDescent="0.25">
      <c r="A1" s="1" t="s">
        <v>55</v>
      </c>
    </row>
    <row r="2" spans="1:11" x14ac:dyDescent="0.2">
      <c r="C2" s="144"/>
      <c r="D2" s="144"/>
    </row>
    <row r="3" spans="1:11" x14ac:dyDescent="0.2">
      <c r="A3" s="17" t="s">
        <v>56</v>
      </c>
      <c r="B3" s="4"/>
      <c r="C3" s="5"/>
      <c r="D3" s="18" t="s">
        <v>24</v>
      </c>
      <c r="E3" s="4"/>
      <c r="F3" s="6" t="s">
        <v>23</v>
      </c>
    </row>
    <row r="4" spans="1:11" s="24" customFormat="1" x14ac:dyDescent="0.2">
      <c r="A4" s="20" t="s">
        <v>68</v>
      </c>
      <c r="B4" s="20"/>
      <c r="C4" s="22"/>
      <c r="D4" s="22">
        <v>878.6</v>
      </c>
      <c r="E4" s="22"/>
      <c r="F4" s="22">
        <v>221.65</v>
      </c>
    </row>
    <row r="5" spans="1:11" s="24" customFormat="1" x14ac:dyDescent="0.2">
      <c r="A5" s="20" t="s">
        <v>69</v>
      </c>
      <c r="B5" s="20"/>
      <c r="C5" s="23"/>
      <c r="D5" s="22">
        <v>487.62</v>
      </c>
      <c r="E5" s="20"/>
      <c r="F5" s="22">
        <v>752.38</v>
      </c>
    </row>
    <row r="6" spans="1:11" s="24" customFormat="1" x14ac:dyDescent="0.2">
      <c r="A6" s="20" t="s">
        <v>70</v>
      </c>
      <c r="B6" s="20"/>
      <c r="C6" s="22"/>
      <c r="D6" s="22">
        <v>907.39</v>
      </c>
      <c r="E6" s="22"/>
      <c r="F6" s="22">
        <v>192.86</v>
      </c>
    </row>
    <row r="7" spans="1:11" s="24" customFormat="1" x14ac:dyDescent="0.2">
      <c r="A7" s="20" t="s">
        <v>71</v>
      </c>
      <c r="B7" s="20"/>
      <c r="C7" s="20"/>
      <c r="D7" s="22">
        <v>562.11</v>
      </c>
      <c r="E7" s="20"/>
      <c r="F7" s="22">
        <v>677.89</v>
      </c>
    </row>
    <row r="8" spans="1:11" x14ac:dyDescent="0.2">
      <c r="A8" s="4"/>
      <c r="B8" s="4"/>
      <c r="C8" s="4"/>
      <c r="D8" s="4"/>
      <c r="E8" s="4"/>
      <c r="F8" s="13"/>
    </row>
    <row r="9" spans="1:11" x14ac:dyDescent="0.2">
      <c r="D9" s="19">
        <f>D4+D5+D6+D7</f>
        <v>2835.7200000000003</v>
      </c>
      <c r="F9" s="19">
        <f>F4+F5+F6+F7+F8</f>
        <v>1844.7799999999997</v>
      </c>
    </row>
    <row r="10" spans="1:11" x14ac:dyDescent="0.2">
      <c r="A10" s="2"/>
      <c r="B10" s="2"/>
      <c r="C10" s="2"/>
      <c r="D10" s="2"/>
      <c r="E10" s="2"/>
    </row>
    <row r="11" spans="1:11" x14ac:dyDescent="0.2">
      <c r="A11" s="2"/>
      <c r="B11" s="2"/>
      <c r="C11" s="2"/>
      <c r="D11" s="2"/>
      <c r="E11" s="2"/>
    </row>
    <row r="12" spans="1:11" x14ac:dyDescent="0.2">
      <c r="A12" s="3" t="s">
        <v>1</v>
      </c>
      <c r="B12" s="4"/>
      <c r="C12" s="3" t="s">
        <v>2</v>
      </c>
      <c r="D12" s="4"/>
      <c r="E12" s="3" t="s">
        <v>3</v>
      </c>
    </row>
    <row r="13" spans="1:11" x14ac:dyDescent="0.2">
      <c r="A13" s="3" t="s">
        <v>12</v>
      </c>
      <c r="B13" s="4"/>
      <c r="C13" s="3"/>
      <c r="D13" s="4"/>
      <c r="E13" s="3"/>
    </row>
    <row r="14" spans="1:11" s="24" customFormat="1" x14ac:dyDescent="0.2">
      <c r="A14" s="20" t="s">
        <v>60</v>
      </c>
      <c r="B14" s="20"/>
      <c r="C14" s="20">
        <v>90.86</v>
      </c>
      <c r="D14" s="20"/>
      <c r="E14" s="20">
        <v>90.86</v>
      </c>
      <c r="K14" s="24">
        <v>432.3</v>
      </c>
    </row>
    <row r="15" spans="1:11" s="24" customFormat="1" x14ac:dyDescent="0.2">
      <c r="A15" s="20" t="s">
        <v>59</v>
      </c>
      <c r="B15" s="20"/>
      <c r="C15" s="21">
        <v>787.74</v>
      </c>
      <c r="D15" s="20"/>
      <c r="E15" s="21">
        <v>787.74</v>
      </c>
      <c r="F15" s="28"/>
      <c r="K15" s="24">
        <v>1835</v>
      </c>
    </row>
    <row r="16" spans="1:11" s="24" customFormat="1" x14ac:dyDescent="0.2">
      <c r="A16" s="20" t="s">
        <v>61</v>
      </c>
      <c r="B16" s="20"/>
      <c r="C16" s="21">
        <v>356.1</v>
      </c>
      <c r="D16" s="20"/>
      <c r="E16" s="21">
        <v>356.1</v>
      </c>
      <c r="F16" s="28"/>
    </row>
    <row r="17" spans="1:399" s="24" customFormat="1" x14ac:dyDescent="0.2">
      <c r="A17" s="20" t="s">
        <v>62</v>
      </c>
      <c r="B17" s="20"/>
      <c r="C17" s="21">
        <v>45</v>
      </c>
      <c r="D17" s="20"/>
      <c r="E17" s="21">
        <v>45</v>
      </c>
    </row>
    <row r="18" spans="1:399" s="24" customFormat="1" x14ac:dyDescent="0.2">
      <c r="A18" s="20" t="s">
        <v>63</v>
      </c>
      <c r="B18" s="20"/>
      <c r="C18" s="21">
        <v>7.25</v>
      </c>
      <c r="D18" s="20"/>
      <c r="E18" s="21">
        <v>7.25</v>
      </c>
    </row>
    <row r="19" spans="1:399" s="24" customFormat="1" x14ac:dyDescent="0.2">
      <c r="A19" s="20" t="s">
        <v>64</v>
      </c>
      <c r="B19" s="20"/>
      <c r="C19" s="21">
        <v>7.47</v>
      </c>
      <c r="D19" s="20"/>
      <c r="E19" s="21">
        <v>7.47</v>
      </c>
    </row>
    <row r="20" spans="1:399" s="24" customFormat="1" x14ac:dyDescent="0.2">
      <c r="A20" s="20" t="s">
        <v>65</v>
      </c>
      <c r="B20" s="20"/>
      <c r="C20" s="21">
        <v>50</v>
      </c>
      <c r="D20" s="20"/>
      <c r="E20" s="21">
        <v>50</v>
      </c>
      <c r="F20" s="28"/>
    </row>
    <row r="21" spans="1:399" s="24" customFormat="1" x14ac:dyDescent="0.2">
      <c r="A21" s="20" t="s">
        <v>66</v>
      </c>
      <c r="B21" s="20"/>
      <c r="C21" s="21">
        <v>21.8</v>
      </c>
      <c r="D21" s="20"/>
      <c r="E21" s="21"/>
    </row>
    <row r="22" spans="1:399" s="16" customFormat="1" x14ac:dyDescent="0.2">
      <c r="A22" s="14"/>
      <c r="B22" s="14"/>
      <c r="C22" s="15"/>
      <c r="D22" s="14"/>
      <c r="E22" s="15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</row>
    <row r="23" spans="1:399" x14ac:dyDescent="0.2">
      <c r="A23" s="3" t="s">
        <v>13</v>
      </c>
      <c r="B23" s="4"/>
      <c r="C23" s="7"/>
      <c r="D23" s="4"/>
      <c r="E23" s="7"/>
    </row>
    <row r="24" spans="1:399" s="24" customFormat="1" x14ac:dyDescent="0.2">
      <c r="A24" s="20" t="s">
        <v>72</v>
      </c>
      <c r="B24" s="20"/>
      <c r="C24" s="21">
        <v>457.42</v>
      </c>
      <c r="D24" s="20"/>
      <c r="E24" s="21">
        <v>457.42</v>
      </c>
      <c r="F24" s="28"/>
    </row>
    <row r="25" spans="1:399" s="24" customFormat="1" x14ac:dyDescent="0.2">
      <c r="A25" s="20" t="s">
        <v>79</v>
      </c>
      <c r="B25" s="20"/>
      <c r="C25" s="21">
        <v>138.41999999999999</v>
      </c>
      <c r="D25" s="20"/>
      <c r="E25" s="21">
        <v>138.41999999999999</v>
      </c>
    </row>
    <row r="26" spans="1:399" s="24" customFormat="1" x14ac:dyDescent="0.2">
      <c r="A26" s="20" t="s">
        <v>73</v>
      </c>
      <c r="B26" s="20"/>
      <c r="C26" s="21">
        <v>311.55</v>
      </c>
      <c r="D26" s="20"/>
      <c r="E26" s="21">
        <v>311.55</v>
      </c>
      <c r="F26" s="28"/>
      <c r="N26" s="24">
        <v>107.03</v>
      </c>
    </row>
    <row r="27" spans="1:399" s="24" customFormat="1" x14ac:dyDescent="0.2">
      <c r="A27" s="20" t="s">
        <v>74</v>
      </c>
      <c r="B27" s="20"/>
      <c r="C27" s="21">
        <v>25</v>
      </c>
      <c r="D27" s="20"/>
      <c r="E27" s="21">
        <v>25</v>
      </c>
      <c r="F27" s="28"/>
    </row>
    <row r="28" spans="1:399" s="24" customFormat="1" x14ac:dyDescent="0.2">
      <c r="A28" s="20" t="s">
        <v>75</v>
      </c>
      <c r="B28" s="20"/>
      <c r="C28" s="21">
        <v>130.96</v>
      </c>
      <c r="D28" s="20"/>
      <c r="E28" s="21">
        <v>130.96</v>
      </c>
    </row>
    <row r="29" spans="1:399" s="24" customFormat="1" x14ac:dyDescent="0.2">
      <c r="A29" s="20" t="s">
        <v>76</v>
      </c>
      <c r="B29" s="20"/>
      <c r="C29" s="21">
        <v>14.99</v>
      </c>
      <c r="D29" s="20"/>
      <c r="E29" s="21">
        <v>14.99</v>
      </c>
    </row>
    <row r="30" spans="1:399" s="24" customFormat="1" x14ac:dyDescent="0.2">
      <c r="A30" s="20" t="s">
        <v>77</v>
      </c>
      <c r="B30" s="20"/>
      <c r="C30" s="21">
        <v>272.18</v>
      </c>
      <c r="D30" s="20"/>
      <c r="E30" s="21">
        <v>272.18</v>
      </c>
    </row>
    <row r="31" spans="1:399" s="24" customFormat="1" x14ac:dyDescent="0.2">
      <c r="A31" s="20" t="s">
        <v>78</v>
      </c>
      <c r="B31" s="20"/>
      <c r="C31" s="21">
        <v>132.16</v>
      </c>
      <c r="D31" s="20"/>
      <c r="E31" s="21">
        <v>132</v>
      </c>
    </row>
    <row r="32" spans="1:399" x14ac:dyDescent="0.2">
      <c r="A32" s="10"/>
      <c r="B32" s="10"/>
      <c r="C32" s="10"/>
      <c r="D32" s="10"/>
      <c r="E32" s="10"/>
    </row>
    <row r="33" spans="1:5" x14ac:dyDescent="0.2">
      <c r="A33" s="8" t="s">
        <v>5</v>
      </c>
      <c r="B33" s="8"/>
      <c r="C33" s="9">
        <f>C14+C15+C16+C17+C18+C19+C21+C24+C25+C26+C28+C29+C30+C31</f>
        <v>2773.8999999999996</v>
      </c>
      <c r="D33" s="4"/>
      <c r="E33" s="4"/>
    </row>
    <row r="34" spans="1:5" x14ac:dyDescent="0.2">
      <c r="A34" s="4" t="s">
        <v>57</v>
      </c>
      <c r="B34" s="4"/>
      <c r="C34" s="7">
        <f>F9+D9</f>
        <v>4680.5</v>
      </c>
      <c r="D34" s="4"/>
      <c r="E34" s="4"/>
    </row>
    <row r="35" spans="1:5" x14ac:dyDescent="0.2">
      <c r="A35" s="4"/>
      <c r="B35" s="4"/>
      <c r="C35" s="4"/>
      <c r="D35" s="4"/>
      <c r="E35" s="4"/>
    </row>
    <row r="36" spans="1:5" x14ac:dyDescent="0.2">
      <c r="A36" s="11" t="s">
        <v>58</v>
      </c>
      <c r="B36" s="11"/>
      <c r="C36" s="12">
        <f>C34-C33</f>
        <v>1906.6000000000004</v>
      </c>
      <c r="D36" s="11"/>
      <c r="E36" s="11"/>
    </row>
    <row r="39" spans="1:5" x14ac:dyDescent="0.2">
      <c r="A39" t="s">
        <v>51</v>
      </c>
      <c r="B39">
        <v>2202.0300000000002</v>
      </c>
    </row>
    <row r="40" spans="1:5" x14ac:dyDescent="0.2">
      <c r="A40" t="s">
        <v>52</v>
      </c>
      <c r="B40">
        <v>1000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OI40"/>
  <sheetViews>
    <sheetView topLeftCell="A6" workbookViewId="0">
      <selection activeCell="A29" sqref="A29:XFD29"/>
    </sheetView>
  </sheetViews>
  <sheetFormatPr baseColWidth="10" defaultColWidth="8.83203125" defaultRowHeight="15" x14ac:dyDescent="0.2"/>
  <cols>
    <col min="1" max="1" width="36.83203125" bestFit="1" customWidth="1"/>
    <col min="2" max="2" width="12.1640625" bestFit="1" customWidth="1"/>
    <col min="3" max="3" width="23.33203125" bestFit="1" customWidth="1"/>
    <col min="4" max="4" width="9.33203125" bestFit="1" customWidth="1"/>
    <col min="5" max="5" width="21.83203125" bestFit="1" customWidth="1"/>
    <col min="6" max="6" width="17.5" bestFit="1" customWidth="1"/>
  </cols>
  <sheetData>
    <row r="1" spans="1:6" ht="21" x14ac:dyDescent="0.25">
      <c r="A1" s="1" t="s">
        <v>43</v>
      </c>
    </row>
    <row r="2" spans="1:6" x14ac:dyDescent="0.2">
      <c r="C2" s="144"/>
      <c r="D2" s="144"/>
    </row>
    <row r="3" spans="1:6" x14ac:dyDescent="0.2">
      <c r="A3" s="17" t="s">
        <v>44</v>
      </c>
      <c r="B3" s="4"/>
      <c r="C3" s="5"/>
      <c r="D3" s="18" t="s">
        <v>24</v>
      </c>
      <c r="E3" s="4"/>
      <c r="F3" s="6" t="s">
        <v>23</v>
      </c>
    </row>
    <row r="4" spans="1:6" s="24" customFormat="1" x14ac:dyDescent="0.2">
      <c r="A4" s="20" t="s">
        <v>47</v>
      </c>
      <c r="B4" s="20"/>
      <c r="C4" s="22"/>
      <c r="D4" s="22">
        <v>900.66</v>
      </c>
      <c r="E4" s="22"/>
      <c r="F4" s="22">
        <v>371.22</v>
      </c>
    </row>
    <row r="5" spans="1:6" s="24" customFormat="1" x14ac:dyDescent="0.2">
      <c r="A5" s="20" t="s">
        <v>48</v>
      </c>
      <c r="B5" s="20"/>
      <c r="C5" s="23"/>
      <c r="D5" s="22">
        <v>445.23</v>
      </c>
      <c r="E5" s="20"/>
      <c r="F5" s="22">
        <v>655.52</v>
      </c>
    </row>
    <row r="6" spans="1:6" s="24" customFormat="1" x14ac:dyDescent="0.2">
      <c r="A6" s="20" t="s">
        <v>49</v>
      </c>
      <c r="B6" s="20"/>
      <c r="C6" s="22"/>
      <c r="D6" s="22">
        <v>853.48</v>
      </c>
      <c r="E6" s="22"/>
      <c r="F6" s="22">
        <v>386.52</v>
      </c>
    </row>
    <row r="7" spans="1:6" s="24" customFormat="1" x14ac:dyDescent="0.2">
      <c r="A7" s="20" t="s">
        <v>50</v>
      </c>
      <c r="B7" s="20"/>
      <c r="C7" s="20"/>
      <c r="D7" s="22">
        <v>597.59</v>
      </c>
      <c r="E7" s="20"/>
      <c r="F7" s="22">
        <v>502.75</v>
      </c>
    </row>
    <row r="8" spans="1:6" s="24" customFormat="1" x14ac:dyDescent="0.2">
      <c r="A8" s="20" t="s">
        <v>67</v>
      </c>
      <c r="B8" s="20"/>
      <c r="C8" s="20"/>
      <c r="D8" s="20">
        <v>224.05</v>
      </c>
      <c r="E8" s="20"/>
      <c r="F8" s="22">
        <v>1015.95</v>
      </c>
    </row>
    <row r="9" spans="1:6" x14ac:dyDescent="0.2">
      <c r="D9" s="19">
        <f>D4+D5+D6+D7</f>
        <v>2796.96</v>
      </c>
      <c r="F9" s="19">
        <f>F4+F5+F6+F7+F8</f>
        <v>2931.96</v>
      </c>
    </row>
    <row r="10" spans="1:6" x14ac:dyDescent="0.2">
      <c r="A10" s="2"/>
      <c r="B10" s="2"/>
      <c r="C10" s="2"/>
      <c r="D10" s="2"/>
      <c r="E10" s="2"/>
    </row>
    <row r="11" spans="1:6" x14ac:dyDescent="0.2">
      <c r="A11" s="2"/>
      <c r="B11" s="2"/>
      <c r="C11" s="2"/>
      <c r="D11" s="2"/>
      <c r="E11" s="2"/>
    </row>
    <row r="12" spans="1:6" x14ac:dyDescent="0.2">
      <c r="A12" s="3" t="s">
        <v>1</v>
      </c>
      <c r="B12" s="4"/>
      <c r="C12" s="3" t="s">
        <v>2</v>
      </c>
      <c r="D12" s="4"/>
      <c r="E12" s="3" t="s">
        <v>3</v>
      </c>
    </row>
    <row r="13" spans="1:6" x14ac:dyDescent="0.2">
      <c r="A13" s="3" t="s">
        <v>12</v>
      </c>
      <c r="B13" s="4"/>
      <c r="C13" s="3"/>
      <c r="D13" s="4"/>
      <c r="E13" s="3"/>
    </row>
    <row r="14" spans="1:6" s="24" customFormat="1" x14ac:dyDescent="0.2">
      <c r="A14" s="20" t="s">
        <v>6</v>
      </c>
      <c r="B14" s="20"/>
      <c r="C14" s="20">
        <v>90.86</v>
      </c>
      <c r="D14" s="20"/>
      <c r="E14" s="20">
        <v>90.86</v>
      </c>
    </row>
    <row r="15" spans="1:6" s="24" customFormat="1" x14ac:dyDescent="0.2">
      <c r="A15" s="20" t="s">
        <v>4</v>
      </c>
      <c r="B15" s="20"/>
      <c r="C15" s="21">
        <v>810.66</v>
      </c>
      <c r="D15" s="20"/>
      <c r="E15" s="21">
        <v>810.66</v>
      </c>
    </row>
    <row r="16" spans="1:6" s="24" customFormat="1" x14ac:dyDescent="0.2">
      <c r="A16" s="20" t="s">
        <v>7</v>
      </c>
      <c r="B16" s="20"/>
      <c r="C16" s="21">
        <v>356.1</v>
      </c>
      <c r="D16" s="20"/>
      <c r="E16" s="21">
        <v>356.1</v>
      </c>
    </row>
    <row r="17" spans="1:399" s="24" customFormat="1" x14ac:dyDescent="0.2">
      <c r="A17" s="20" t="s">
        <v>8</v>
      </c>
      <c r="B17" s="20"/>
      <c r="C17" s="21">
        <v>45</v>
      </c>
      <c r="D17" s="20"/>
      <c r="E17" s="21">
        <v>45</v>
      </c>
    </row>
    <row r="18" spans="1:399" s="24" customFormat="1" x14ac:dyDescent="0.2">
      <c r="A18" s="20" t="s">
        <v>9</v>
      </c>
      <c r="B18" s="20"/>
      <c r="C18" s="21">
        <v>7.25</v>
      </c>
      <c r="D18" s="20"/>
      <c r="E18" s="21">
        <v>7.25</v>
      </c>
    </row>
    <row r="19" spans="1:399" s="24" customFormat="1" x14ac:dyDescent="0.2">
      <c r="A19" s="20" t="s">
        <v>10</v>
      </c>
      <c r="B19" s="20"/>
      <c r="C19" s="21">
        <v>7.47</v>
      </c>
      <c r="D19" s="20"/>
      <c r="E19" s="21">
        <v>7.47</v>
      </c>
    </row>
    <row r="20" spans="1:399" s="24" customFormat="1" x14ac:dyDescent="0.2">
      <c r="A20" s="20" t="s">
        <v>53</v>
      </c>
      <c r="B20" s="20"/>
      <c r="C20" s="21">
        <v>50</v>
      </c>
      <c r="D20" s="20"/>
      <c r="E20" s="21"/>
    </row>
    <row r="21" spans="1:399" s="24" customFormat="1" x14ac:dyDescent="0.2">
      <c r="A21" s="20" t="s">
        <v>11</v>
      </c>
      <c r="B21" s="20"/>
      <c r="C21" s="21">
        <v>29.41</v>
      </c>
      <c r="D21" s="20"/>
      <c r="E21" s="21">
        <v>2.08</v>
      </c>
    </row>
    <row r="22" spans="1:399" s="16" customFormat="1" x14ac:dyDescent="0.2">
      <c r="A22" s="14"/>
      <c r="B22" s="14"/>
      <c r="C22" s="15"/>
      <c r="D22" s="14"/>
      <c r="E22" s="15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</row>
    <row r="23" spans="1:399" x14ac:dyDescent="0.2">
      <c r="A23" s="3" t="s">
        <v>13</v>
      </c>
      <c r="B23" s="4"/>
      <c r="C23" s="7"/>
      <c r="D23" s="4"/>
      <c r="E23" s="7"/>
    </row>
    <row r="24" spans="1:399" s="24" customFormat="1" x14ac:dyDescent="0.2">
      <c r="A24" s="20" t="s">
        <v>34</v>
      </c>
      <c r="B24" s="20"/>
      <c r="C24" s="21">
        <v>457.42</v>
      </c>
      <c r="D24" s="20"/>
      <c r="E24" s="21">
        <v>457.42</v>
      </c>
    </row>
    <row r="25" spans="1:399" s="24" customFormat="1" x14ac:dyDescent="0.2">
      <c r="A25" s="20" t="s">
        <v>15</v>
      </c>
      <c r="B25" s="20"/>
      <c r="C25" s="21">
        <v>192.43</v>
      </c>
      <c r="D25" s="20"/>
      <c r="E25" s="21">
        <v>192.43</v>
      </c>
    </row>
    <row r="26" spans="1:399" s="24" customFormat="1" x14ac:dyDescent="0.2">
      <c r="A26" s="20" t="s">
        <v>16</v>
      </c>
      <c r="B26" s="20"/>
      <c r="C26" s="21">
        <v>311.55</v>
      </c>
      <c r="D26" s="20"/>
      <c r="E26" s="21">
        <v>311.55</v>
      </c>
    </row>
    <row r="27" spans="1:399" s="24" customFormat="1" x14ac:dyDescent="0.2">
      <c r="A27" s="20" t="s">
        <v>54</v>
      </c>
      <c r="B27" s="20"/>
      <c r="C27" s="21">
        <v>25</v>
      </c>
      <c r="D27" s="20"/>
      <c r="E27" s="21">
        <v>25</v>
      </c>
    </row>
    <row r="28" spans="1:399" s="24" customFormat="1" x14ac:dyDescent="0.2">
      <c r="A28" s="20" t="s">
        <v>17</v>
      </c>
      <c r="B28" s="20"/>
      <c r="C28" s="21">
        <v>130.96</v>
      </c>
      <c r="D28" s="20"/>
      <c r="E28" s="21">
        <v>130.96</v>
      </c>
    </row>
    <row r="29" spans="1:399" s="24" customFormat="1" x14ac:dyDescent="0.2">
      <c r="A29" s="20" t="s">
        <v>18</v>
      </c>
      <c r="B29" s="20"/>
      <c r="C29" s="21">
        <v>14.99</v>
      </c>
      <c r="D29" s="20"/>
      <c r="E29" s="21">
        <v>14.99</v>
      </c>
    </row>
    <row r="30" spans="1:399" s="24" customFormat="1" x14ac:dyDescent="0.2">
      <c r="A30" s="20" t="s">
        <v>0</v>
      </c>
      <c r="B30" s="20"/>
      <c r="C30" s="21">
        <v>265.7</v>
      </c>
      <c r="D30" s="20"/>
      <c r="E30" s="21">
        <v>265.7</v>
      </c>
    </row>
    <row r="31" spans="1:399" s="24" customFormat="1" x14ac:dyDescent="0.2">
      <c r="A31" s="20" t="s">
        <v>19</v>
      </c>
      <c r="B31" s="20"/>
      <c r="C31" s="21">
        <v>132.16</v>
      </c>
      <c r="D31" s="20"/>
      <c r="E31" s="21">
        <v>132</v>
      </c>
    </row>
    <row r="32" spans="1:399" x14ac:dyDescent="0.2">
      <c r="A32" s="10"/>
      <c r="B32" s="10"/>
      <c r="C32" s="10"/>
      <c r="D32" s="10"/>
      <c r="E32" s="10"/>
    </row>
    <row r="33" spans="1:5" x14ac:dyDescent="0.2">
      <c r="A33" s="8" t="s">
        <v>5</v>
      </c>
      <c r="B33" s="8"/>
      <c r="C33" s="9">
        <f>C14+C15+C16+C17+C18+C19+C21+C24+C25+C26+C28+C29+C30+C31</f>
        <v>2851.9599999999996</v>
      </c>
      <c r="D33" s="4"/>
      <c r="E33" s="4"/>
    </row>
    <row r="34" spans="1:5" x14ac:dyDescent="0.2">
      <c r="A34" s="4" t="s">
        <v>45</v>
      </c>
      <c r="B34" s="4"/>
      <c r="C34" s="7">
        <f>F9+D9</f>
        <v>5728.92</v>
      </c>
      <c r="D34" s="4"/>
      <c r="E34" s="4"/>
    </row>
    <row r="35" spans="1:5" x14ac:dyDescent="0.2">
      <c r="A35" s="4"/>
      <c r="B35" s="4"/>
      <c r="C35" s="4"/>
      <c r="D35" s="4"/>
      <c r="E35" s="4"/>
    </row>
    <row r="36" spans="1:5" x14ac:dyDescent="0.2">
      <c r="A36" s="11" t="s">
        <v>46</v>
      </c>
      <c r="B36" s="11"/>
      <c r="C36" s="12">
        <f>C34-C33</f>
        <v>2876.9600000000005</v>
      </c>
      <c r="D36" s="11"/>
      <c r="E36" s="11"/>
    </row>
    <row r="39" spans="1:5" x14ac:dyDescent="0.2">
      <c r="A39" t="s">
        <v>51</v>
      </c>
      <c r="B39">
        <v>2202.0300000000002</v>
      </c>
    </row>
    <row r="40" spans="1:5" x14ac:dyDescent="0.2">
      <c r="A40" t="s">
        <v>52</v>
      </c>
      <c r="B40">
        <v>1000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OI34"/>
  <sheetViews>
    <sheetView topLeftCell="A4" workbookViewId="0">
      <selection activeCell="A27" sqref="A27:XFD27"/>
    </sheetView>
  </sheetViews>
  <sheetFormatPr baseColWidth="10" defaultColWidth="8.83203125" defaultRowHeight="15" x14ac:dyDescent="0.2"/>
  <cols>
    <col min="1" max="1" width="34.33203125" bestFit="1" customWidth="1"/>
    <col min="2" max="2" width="12.1640625" bestFit="1" customWidth="1"/>
    <col min="3" max="3" width="23.33203125" bestFit="1" customWidth="1"/>
    <col min="4" max="4" width="9.33203125" bestFit="1" customWidth="1"/>
    <col min="5" max="5" width="21.83203125" bestFit="1" customWidth="1"/>
    <col min="6" max="6" width="17.5" bestFit="1" customWidth="1"/>
  </cols>
  <sheetData>
    <row r="1" spans="1:8" ht="21" x14ac:dyDescent="0.25">
      <c r="A1" s="1" t="s">
        <v>42</v>
      </c>
    </row>
    <row r="2" spans="1:8" x14ac:dyDescent="0.2">
      <c r="C2" s="144"/>
      <c r="D2" s="144"/>
    </row>
    <row r="3" spans="1:8" x14ac:dyDescent="0.2">
      <c r="A3" s="17" t="s">
        <v>35</v>
      </c>
      <c r="B3" s="4"/>
      <c r="C3" s="5"/>
      <c r="D3" s="18" t="s">
        <v>24</v>
      </c>
      <c r="E3" s="4"/>
      <c r="F3" s="6" t="s">
        <v>23</v>
      </c>
    </row>
    <row r="4" spans="1:8" s="24" customFormat="1" x14ac:dyDescent="0.2">
      <c r="A4" s="20" t="s">
        <v>38</v>
      </c>
      <c r="B4" s="20"/>
      <c r="C4" s="22"/>
      <c r="D4" s="22">
        <v>900.66</v>
      </c>
      <c r="E4" s="22"/>
      <c r="F4" s="22">
        <v>339.34</v>
      </c>
      <c r="H4" s="24">
        <v>228.84</v>
      </c>
    </row>
    <row r="5" spans="1:8" s="24" customFormat="1" x14ac:dyDescent="0.2">
      <c r="A5" s="20" t="s">
        <v>39</v>
      </c>
      <c r="B5" s="20"/>
      <c r="C5" s="23"/>
      <c r="D5" s="22">
        <v>418.82</v>
      </c>
      <c r="E5" s="20"/>
      <c r="F5" s="22">
        <v>681.93</v>
      </c>
      <c r="H5" s="24">
        <v>544.42999999999995</v>
      </c>
    </row>
    <row r="6" spans="1:8" s="24" customFormat="1" x14ac:dyDescent="0.2">
      <c r="A6" s="20" t="s">
        <v>40</v>
      </c>
      <c r="B6" s="20"/>
      <c r="C6" s="22"/>
      <c r="D6" s="22">
        <v>853.48</v>
      </c>
      <c r="E6" s="22"/>
      <c r="F6" s="22">
        <v>386.52</v>
      </c>
      <c r="H6" s="24">
        <v>246.53</v>
      </c>
    </row>
    <row r="7" spans="1:8" s="24" customFormat="1" x14ac:dyDescent="0.2">
      <c r="A7" s="20" t="s">
        <v>41</v>
      </c>
      <c r="B7" s="20"/>
      <c r="C7" s="20"/>
      <c r="D7" s="22">
        <v>520</v>
      </c>
      <c r="E7" s="20"/>
      <c r="F7" s="22">
        <v>580.75</v>
      </c>
      <c r="H7" s="24">
        <v>545.11</v>
      </c>
    </row>
    <row r="8" spans="1:8" x14ac:dyDescent="0.2">
      <c r="A8" s="4"/>
      <c r="B8" s="4"/>
      <c r="C8" s="4"/>
      <c r="D8" s="4"/>
      <c r="E8" s="4"/>
      <c r="F8" s="13"/>
    </row>
    <row r="9" spans="1:8" x14ac:dyDescent="0.2">
      <c r="D9" s="19">
        <f>D4+D5+D6+D7</f>
        <v>2692.96</v>
      </c>
      <c r="F9" s="19">
        <f>F4+F5+F6+F7+F8</f>
        <v>1988.54</v>
      </c>
    </row>
    <row r="10" spans="1:8" x14ac:dyDescent="0.2">
      <c r="A10" s="2"/>
      <c r="B10" s="2"/>
      <c r="C10" s="2"/>
      <c r="D10" s="2"/>
      <c r="E10" s="2"/>
    </row>
    <row r="11" spans="1:8" x14ac:dyDescent="0.2">
      <c r="A11" s="2"/>
      <c r="B11" s="2"/>
      <c r="C11" s="2"/>
      <c r="D11" s="2"/>
      <c r="E11" s="2"/>
    </row>
    <row r="12" spans="1:8" x14ac:dyDescent="0.2">
      <c r="A12" s="3" t="s">
        <v>1</v>
      </c>
      <c r="B12" s="4"/>
      <c r="C12" s="3" t="s">
        <v>2</v>
      </c>
      <c r="D12" s="4"/>
      <c r="E12" s="3" t="s">
        <v>3</v>
      </c>
    </row>
    <row r="13" spans="1:8" x14ac:dyDescent="0.2">
      <c r="A13" s="3" t="s">
        <v>12</v>
      </c>
      <c r="B13" s="4"/>
      <c r="C13" s="3"/>
      <c r="D13" s="4"/>
      <c r="E13" s="3"/>
    </row>
    <row r="14" spans="1:8" s="24" customFormat="1" x14ac:dyDescent="0.2">
      <c r="A14" s="20" t="s">
        <v>6</v>
      </c>
      <c r="B14" s="20"/>
      <c r="C14" s="20">
        <v>90</v>
      </c>
      <c r="D14" s="20"/>
      <c r="E14" s="20">
        <v>90</v>
      </c>
    </row>
    <row r="15" spans="1:8" s="24" customFormat="1" x14ac:dyDescent="0.2">
      <c r="A15" s="20" t="s">
        <v>4</v>
      </c>
      <c r="B15" s="20"/>
      <c r="C15" s="21">
        <v>810.66</v>
      </c>
      <c r="D15" s="20"/>
      <c r="E15" s="21">
        <v>810.66</v>
      </c>
    </row>
    <row r="16" spans="1:8" s="24" customFormat="1" x14ac:dyDescent="0.2">
      <c r="A16" s="20" t="s">
        <v>7</v>
      </c>
      <c r="B16" s="20"/>
      <c r="C16" s="21">
        <v>356.1</v>
      </c>
      <c r="D16" s="20"/>
      <c r="E16" s="21">
        <v>356.1</v>
      </c>
    </row>
    <row r="17" spans="1:399" s="24" customFormat="1" x14ac:dyDescent="0.2">
      <c r="A17" s="20" t="s">
        <v>8</v>
      </c>
      <c r="B17" s="20"/>
      <c r="C17" s="21">
        <v>45</v>
      </c>
      <c r="D17" s="20"/>
      <c r="E17" s="21">
        <v>45</v>
      </c>
    </row>
    <row r="18" spans="1:399" s="24" customFormat="1" x14ac:dyDescent="0.2">
      <c r="A18" s="20" t="s">
        <v>9</v>
      </c>
      <c r="B18" s="20"/>
      <c r="C18" s="21">
        <v>7.25</v>
      </c>
      <c r="D18" s="20"/>
      <c r="E18" s="21">
        <v>7.25</v>
      </c>
    </row>
    <row r="19" spans="1:399" s="24" customFormat="1" x14ac:dyDescent="0.2">
      <c r="A19" s="20" t="s">
        <v>10</v>
      </c>
      <c r="B19" s="20"/>
      <c r="C19" s="21">
        <v>7.47</v>
      </c>
      <c r="D19" s="20"/>
      <c r="E19" s="21">
        <v>7.47</v>
      </c>
    </row>
    <row r="20" spans="1:399" s="24" customFormat="1" x14ac:dyDescent="0.2">
      <c r="A20" s="20" t="s">
        <v>11</v>
      </c>
      <c r="B20" s="20"/>
      <c r="C20" s="21">
        <v>2.08</v>
      </c>
      <c r="D20" s="20"/>
      <c r="E20" s="21">
        <v>2.08</v>
      </c>
    </row>
    <row r="21" spans="1:399" s="16" customFormat="1" x14ac:dyDescent="0.2">
      <c r="A21" s="14"/>
      <c r="B21" s="14"/>
      <c r="C21" s="15"/>
      <c r="D21" s="14"/>
      <c r="E21" s="15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</row>
    <row r="22" spans="1:399" x14ac:dyDescent="0.2">
      <c r="A22" s="3" t="s">
        <v>13</v>
      </c>
      <c r="B22" s="4"/>
      <c r="C22" s="7"/>
      <c r="D22" s="4"/>
      <c r="E22" s="7"/>
    </row>
    <row r="23" spans="1:399" s="24" customFormat="1" x14ac:dyDescent="0.2">
      <c r="A23" s="20" t="s">
        <v>34</v>
      </c>
      <c r="B23" s="20"/>
      <c r="C23" s="21">
        <v>457.42</v>
      </c>
      <c r="D23" s="20"/>
      <c r="E23" s="21">
        <v>457.42</v>
      </c>
    </row>
    <row r="24" spans="1:399" s="24" customFormat="1" x14ac:dyDescent="0.2">
      <c r="A24" s="20" t="s">
        <v>15</v>
      </c>
      <c r="B24" s="20"/>
      <c r="C24" s="21">
        <v>84.93</v>
      </c>
      <c r="D24" s="20"/>
      <c r="E24" s="21">
        <v>84.93</v>
      </c>
    </row>
    <row r="25" spans="1:399" s="24" customFormat="1" x14ac:dyDescent="0.2">
      <c r="A25" s="20" t="s">
        <v>16</v>
      </c>
      <c r="B25" s="20"/>
      <c r="C25" s="21">
        <v>311.55</v>
      </c>
      <c r="D25" s="20"/>
      <c r="E25" s="21">
        <v>311.55</v>
      </c>
    </row>
    <row r="26" spans="1:399" s="24" customFormat="1" x14ac:dyDescent="0.2">
      <c r="A26" s="20" t="s">
        <v>17</v>
      </c>
      <c r="B26" s="20"/>
      <c r="C26" s="21">
        <v>130.96</v>
      </c>
      <c r="D26" s="20"/>
      <c r="E26" s="21">
        <v>130.96</v>
      </c>
    </row>
    <row r="27" spans="1:399" s="24" customFormat="1" x14ac:dyDescent="0.2">
      <c r="A27" s="20" t="s">
        <v>18</v>
      </c>
      <c r="B27" s="20"/>
      <c r="C27" s="21">
        <v>14.99</v>
      </c>
      <c r="D27" s="20"/>
      <c r="E27" s="21">
        <v>14.99</v>
      </c>
    </row>
    <row r="28" spans="1:399" s="24" customFormat="1" x14ac:dyDescent="0.2">
      <c r="A28" s="20" t="s">
        <v>0</v>
      </c>
      <c r="B28" s="20"/>
      <c r="C28" s="21">
        <v>188.11</v>
      </c>
      <c r="D28" s="20"/>
      <c r="E28" s="21">
        <v>188.11</v>
      </c>
    </row>
    <row r="29" spans="1:399" s="24" customFormat="1" x14ac:dyDescent="0.2">
      <c r="A29" s="20" t="s">
        <v>19</v>
      </c>
      <c r="B29" s="20"/>
      <c r="C29" s="21">
        <v>185.94</v>
      </c>
      <c r="D29" s="20"/>
      <c r="E29" s="21">
        <v>185.94</v>
      </c>
    </row>
    <row r="30" spans="1:399" x14ac:dyDescent="0.2">
      <c r="A30" s="10"/>
      <c r="B30" s="10"/>
      <c r="C30" s="10"/>
      <c r="D30" s="10"/>
      <c r="E30" s="10"/>
    </row>
    <row r="31" spans="1:399" x14ac:dyDescent="0.2">
      <c r="A31" s="8" t="s">
        <v>5</v>
      </c>
      <c r="B31" s="8"/>
      <c r="C31" s="9">
        <f>C14+C15+C16+C17+C18+C19+C20+C23+C24+C25+C26+C27+C28+C29</f>
        <v>2692.46</v>
      </c>
      <c r="D31" s="4"/>
      <c r="E31" s="4"/>
    </row>
    <row r="32" spans="1:399" x14ac:dyDescent="0.2">
      <c r="A32" s="4" t="s">
        <v>36</v>
      </c>
      <c r="B32" s="4"/>
      <c r="C32" s="7">
        <f>F9+D9</f>
        <v>4681.5</v>
      </c>
      <c r="D32" s="4"/>
      <c r="E32" s="4"/>
    </row>
    <row r="33" spans="1:5" x14ac:dyDescent="0.2">
      <c r="A33" s="4"/>
      <c r="B33" s="4"/>
      <c r="C33" s="4"/>
      <c r="D33" s="4"/>
      <c r="E33" s="4"/>
    </row>
    <row r="34" spans="1:5" x14ac:dyDescent="0.2">
      <c r="A34" s="11" t="s">
        <v>37</v>
      </c>
      <c r="B34" s="11"/>
      <c r="C34" s="12">
        <f>C32-C31</f>
        <v>1989.04</v>
      </c>
      <c r="D34" s="11"/>
      <c r="E34" s="11"/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OI34"/>
  <sheetViews>
    <sheetView topLeftCell="A4" workbookViewId="0">
      <selection activeCell="A27" sqref="A27:XFD27"/>
    </sheetView>
  </sheetViews>
  <sheetFormatPr baseColWidth="10" defaultColWidth="8.83203125" defaultRowHeight="15" x14ac:dyDescent="0.2"/>
  <cols>
    <col min="1" max="1" width="34.33203125" bestFit="1" customWidth="1"/>
    <col min="3" max="3" width="23.33203125" bestFit="1" customWidth="1"/>
    <col min="4" max="4" width="9.33203125" bestFit="1" customWidth="1"/>
    <col min="5" max="5" width="21.83203125" bestFit="1" customWidth="1"/>
    <col min="6" max="6" width="17.5" bestFit="1" customWidth="1"/>
  </cols>
  <sheetData>
    <row r="1" spans="1:6" ht="21" x14ac:dyDescent="0.25">
      <c r="A1" s="1" t="s">
        <v>30</v>
      </c>
    </row>
    <row r="2" spans="1:6" x14ac:dyDescent="0.2">
      <c r="C2" s="144"/>
      <c r="D2" s="144"/>
    </row>
    <row r="3" spans="1:6" x14ac:dyDescent="0.2">
      <c r="A3" s="17" t="s">
        <v>31</v>
      </c>
      <c r="B3" s="4"/>
      <c r="C3" s="5"/>
      <c r="D3" s="18" t="s">
        <v>24</v>
      </c>
      <c r="E3" s="4"/>
      <c r="F3" s="6" t="s">
        <v>23</v>
      </c>
    </row>
    <row r="4" spans="1:6" x14ac:dyDescent="0.2">
      <c r="A4" s="20" t="s">
        <v>26</v>
      </c>
      <c r="B4" s="20"/>
      <c r="C4" s="22"/>
      <c r="D4" s="22">
        <v>859.58</v>
      </c>
      <c r="E4" s="22"/>
      <c r="F4" s="22">
        <v>380.35</v>
      </c>
    </row>
    <row r="5" spans="1:6" s="24" customFormat="1" x14ac:dyDescent="0.2">
      <c r="A5" s="20" t="s">
        <v>27</v>
      </c>
      <c r="B5" s="20"/>
      <c r="C5" s="23"/>
      <c r="D5" s="22">
        <v>423.3</v>
      </c>
      <c r="E5" s="20"/>
      <c r="F5" s="22">
        <v>695.58</v>
      </c>
    </row>
    <row r="6" spans="1:6" s="24" customFormat="1" x14ac:dyDescent="0.2">
      <c r="A6" s="20" t="s">
        <v>28</v>
      </c>
      <c r="B6" s="20"/>
      <c r="C6" s="22"/>
      <c r="D6" s="22">
        <v>787.06</v>
      </c>
      <c r="E6" s="22"/>
      <c r="F6" s="22">
        <v>452.87</v>
      </c>
    </row>
    <row r="7" spans="1:6" s="24" customFormat="1" x14ac:dyDescent="0.2">
      <c r="A7" s="20" t="s">
        <v>29</v>
      </c>
      <c r="B7" s="20"/>
      <c r="C7" s="20"/>
      <c r="D7" s="22">
        <v>494.89</v>
      </c>
      <c r="E7" s="20"/>
      <c r="F7" s="22">
        <v>622.66999999999996</v>
      </c>
    </row>
    <row r="8" spans="1:6" x14ac:dyDescent="0.2">
      <c r="A8" s="4"/>
      <c r="B8" s="4"/>
      <c r="C8" s="4"/>
      <c r="D8" s="4"/>
      <c r="E8" s="4"/>
      <c r="F8" s="13"/>
    </row>
    <row r="9" spans="1:6" x14ac:dyDescent="0.2">
      <c r="D9" s="19">
        <f>D4+D5+D6+D7</f>
        <v>2564.83</v>
      </c>
      <c r="F9" s="19">
        <f>F4+F5+F6+F7+F8</f>
        <v>2151.4700000000003</v>
      </c>
    </row>
    <row r="10" spans="1:6" x14ac:dyDescent="0.2">
      <c r="A10" s="2"/>
      <c r="B10" s="2"/>
      <c r="C10" s="2"/>
      <c r="D10" s="2"/>
      <c r="E10" s="2"/>
    </row>
    <row r="11" spans="1:6" x14ac:dyDescent="0.2">
      <c r="A11" s="2"/>
      <c r="B11" s="2"/>
      <c r="C11" s="2"/>
      <c r="D11" s="2"/>
      <c r="E11" s="2"/>
    </row>
    <row r="12" spans="1:6" x14ac:dyDescent="0.2">
      <c r="A12" s="3" t="s">
        <v>1</v>
      </c>
      <c r="B12" s="4"/>
      <c r="C12" s="3" t="s">
        <v>2</v>
      </c>
      <c r="D12" s="4"/>
      <c r="E12" s="3" t="s">
        <v>3</v>
      </c>
    </row>
    <row r="13" spans="1:6" x14ac:dyDescent="0.2">
      <c r="A13" s="3" t="s">
        <v>12</v>
      </c>
      <c r="B13" s="4"/>
      <c r="C13" s="3"/>
      <c r="D13" s="4"/>
      <c r="E13" s="3"/>
    </row>
    <row r="14" spans="1:6" s="24" customFormat="1" x14ac:dyDescent="0.2">
      <c r="A14" s="20" t="s">
        <v>6</v>
      </c>
      <c r="B14" s="20"/>
      <c r="C14" s="20">
        <v>48.92</v>
      </c>
      <c r="D14" s="20"/>
      <c r="E14" s="20">
        <v>48.92</v>
      </c>
    </row>
    <row r="15" spans="1:6" s="24" customFormat="1" x14ac:dyDescent="0.2">
      <c r="A15" s="20" t="s">
        <v>4</v>
      </c>
      <c r="B15" s="20"/>
      <c r="C15" s="21">
        <v>810.66</v>
      </c>
      <c r="D15" s="20"/>
      <c r="E15" s="21">
        <v>810.66</v>
      </c>
    </row>
    <row r="16" spans="1:6" s="24" customFormat="1" x14ac:dyDescent="0.2">
      <c r="A16" s="20" t="s">
        <v>7</v>
      </c>
      <c r="B16" s="20"/>
      <c r="C16" s="21">
        <v>356.1</v>
      </c>
      <c r="D16" s="20"/>
      <c r="E16" s="21">
        <v>356.1</v>
      </c>
    </row>
    <row r="17" spans="1:399" s="24" customFormat="1" x14ac:dyDescent="0.2">
      <c r="A17" s="20" t="s">
        <v>8</v>
      </c>
      <c r="B17" s="20"/>
      <c r="C17" s="21">
        <v>45</v>
      </c>
      <c r="D17" s="20"/>
      <c r="E17" s="21">
        <v>45</v>
      </c>
    </row>
    <row r="18" spans="1:399" s="24" customFormat="1" x14ac:dyDescent="0.2">
      <c r="A18" s="20" t="s">
        <v>9</v>
      </c>
      <c r="B18" s="20"/>
      <c r="C18" s="21">
        <v>7.25</v>
      </c>
      <c r="D18" s="20"/>
      <c r="E18" s="21">
        <v>7.25</v>
      </c>
    </row>
    <row r="19" spans="1:399" s="24" customFormat="1" x14ac:dyDescent="0.2">
      <c r="A19" s="20" t="s">
        <v>10</v>
      </c>
      <c r="B19" s="20"/>
      <c r="C19" s="21">
        <v>7.47</v>
      </c>
      <c r="D19" s="20"/>
      <c r="E19" s="21">
        <v>7.47</v>
      </c>
    </row>
    <row r="20" spans="1:399" s="26" customFormat="1" x14ac:dyDescent="0.2">
      <c r="A20" s="25" t="s">
        <v>11</v>
      </c>
      <c r="B20" s="25"/>
      <c r="C20" s="27">
        <v>0</v>
      </c>
      <c r="D20" s="25"/>
      <c r="E20" s="27">
        <v>0</v>
      </c>
    </row>
    <row r="21" spans="1:399" s="16" customFormat="1" x14ac:dyDescent="0.2">
      <c r="A21" s="14"/>
      <c r="B21" s="14"/>
      <c r="C21" s="15"/>
      <c r="D21" s="14"/>
      <c r="E21" s="15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</row>
    <row r="22" spans="1:399" x14ac:dyDescent="0.2">
      <c r="A22" s="3" t="s">
        <v>13</v>
      </c>
      <c r="B22" s="4"/>
      <c r="C22" s="7"/>
      <c r="D22" s="4"/>
      <c r="E22" s="7"/>
    </row>
    <row r="23" spans="1:399" s="26" customFormat="1" x14ac:dyDescent="0.2">
      <c r="A23" s="25" t="s">
        <v>34</v>
      </c>
      <c r="B23" s="25"/>
      <c r="C23" s="27"/>
      <c r="D23" s="25"/>
      <c r="E23" s="27"/>
    </row>
    <row r="24" spans="1:399" s="24" customFormat="1" x14ac:dyDescent="0.2">
      <c r="A24" s="20" t="s">
        <v>15</v>
      </c>
      <c r="B24" s="20"/>
      <c r="C24" s="21">
        <v>84.93</v>
      </c>
      <c r="D24" s="20"/>
      <c r="E24" s="21">
        <v>84.93</v>
      </c>
    </row>
    <row r="25" spans="1:399" s="24" customFormat="1" x14ac:dyDescent="0.2">
      <c r="A25" s="20" t="s">
        <v>16</v>
      </c>
      <c r="B25" s="20"/>
      <c r="C25" s="21">
        <v>311.55</v>
      </c>
      <c r="D25" s="20"/>
      <c r="E25" s="21">
        <v>311.55</v>
      </c>
    </row>
    <row r="26" spans="1:399" s="24" customFormat="1" x14ac:dyDescent="0.2">
      <c r="A26" s="20" t="s">
        <v>17</v>
      </c>
      <c r="B26" s="20"/>
      <c r="C26" s="21">
        <v>130.96</v>
      </c>
      <c r="D26" s="20"/>
      <c r="E26" s="21">
        <v>130.96</v>
      </c>
    </row>
    <row r="27" spans="1:399" s="24" customFormat="1" x14ac:dyDescent="0.2">
      <c r="A27" s="20" t="s">
        <v>18</v>
      </c>
      <c r="B27" s="20"/>
      <c r="C27" s="21">
        <v>14.99</v>
      </c>
      <c r="D27" s="20"/>
      <c r="E27" s="21">
        <v>14.99</v>
      </c>
    </row>
    <row r="28" spans="1:399" s="24" customFormat="1" x14ac:dyDescent="0.2">
      <c r="A28" s="20" t="s">
        <v>0</v>
      </c>
      <c r="B28" s="20"/>
      <c r="C28" s="21">
        <v>163</v>
      </c>
      <c r="D28" s="20"/>
      <c r="E28" s="21">
        <v>163</v>
      </c>
    </row>
    <row r="29" spans="1:399" s="24" customFormat="1" x14ac:dyDescent="0.2">
      <c r="A29" s="20" t="s">
        <v>19</v>
      </c>
      <c r="B29" s="20"/>
      <c r="C29" s="21">
        <v>185.94</v>
      </c>
      <c r="D29" s="20"/>
      <c r="E29" s="21">
        <v>185.94</v>
      </c>
    </row>
    <row r="30" spans="1:399" x14ac:dyDescent="0.2">
      <c r="A30" s="10"/>
      <c r="B30" s="10"/>
      <c r="C30" s="10"/>
      <c r="D30" s="10"/>
      <c r="E30" s="10"/>
    </row>
    <row r="31" spans="1:399" x14ac:dyDescent="0.2">
      <c r="A31" s="8" t="s">
        <v>5</v>
      </c>
      <c r="B31" s="8"/>
      <c r="C31" s="9">
        <f>C14+C15+C16+C17+C18+C19+C20+C23+C24+C25+C26+C27+C28+C29</f>
        <v>2166.77</v>
      </c>
      <c r="D31" s="4"/>
      <c r="E31" s="4"/>
    </row>
    <row r="32" spans="1:399" x14ac:dyDescent="0.2">
      <c r="A32" s="4" t="s">
        <v>32</v>
      </c>
      <c r="B32" s="4"/>
      <c r="C32" s="7">
        <f>F9+D9</f>
        <v>4716.3</v>
      </c>
      <c r="D32" s="4"/>
      <c r="E32" s="4"/>
    </row>
    <row r="33" spans="1:5" x14ac:dyDescent="0.2">
      <c r="A33" s="4"/>
      <c r="B33" s="4"/>
      <c r="C33" s="4"/>
      <c r="D33" s="4"/>
      <c r="E33" s="4"/>
    </row>
    <row r="34" spans="1:5" x14ac:dyDescent="0.2">
      <c r="A34" s="11" t="s">
        <v>33</v>
      </c>
      <c r="B34" s="11"/>
      <c r="C34" s="12">
        <f>C32-C31</f>
        <v>2549.5300000000002</v>
      </c>
      <c r="D34" s="11"/>
      <c r="E34" s="11"/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OI34"/>
  <sheetViews>
    <sheetView workbookViewId="0">
      <selection activeCell="E14" sqref="E14:E29"/>
    </sheetView>
  </sheetViews>
  <sheetFormatPr baseColWidth="10" defaultColWidth="8.83203125" defaultRowHeight="15" x14ac:dyDescent="0.2"/>
  <cols>
    <col min="1" max="1" width="34.33203125" bestFit="1" customWidth="1"/>
    <col min="3" max="3" width="23.33203125" bestFit="1" customWidth="1"/>
    <col min="4" max="4" width="9.33203125" bestFit="1" customWidth="1"/>
    <col min="5" max="5" width="21.83203125" bestFit="1" customWidth="1"/>
    <col min="6" max="6" width="17.5" bestFit="1" customWidth="1"/>
  </cols>
  <sheetData>
    <row r="1" spans="1:6" ht="21" x14ac:dyDescent="0.25">
      <c r="A1" s="1" t="s">
        <v>21</v>
      </c>
    </row>
    <row r="2" spans="1:6" x14ac:dyDescent="0.2">
      <c r="C2" s="144"/>
      <c r="D2" s="144"/>
    </row>
    <row r="3" spans="1:6" x14ac:dyDescent="0.2">
      <c r="A3" s="17" t="s">
        <v>22</v>
      </c>
      <c r="B3" s="4"/>
      <c r="C3" s="5"/>
      <c r="D3" s="18" t="s">
        <v>24</v>
      </c>
      <c r="E3" s="4"/>
      <c r="F3" s="6" t="s">
        <v>23</v>
      </c>
    </row>
    <row r="4" spans="1:6" x14ac:dyDescent="0.2">
      <c r="A4" s="20" t="s">
        <v>26</v>
      </c>
      <c r="B4" s="20"/>
      <c r="C4" s="22"/>
      <c r="D4" s="22">
        <v>859.58</v>
      </c>
      <c r="E4" s="22"/>
      <c r="F4" s="22">
        <v>380.35</v>
      </c>
    </row>
    <row r="5" spans="1:6" x14ac:dyDescent="0.2">
      <c r="A5" s="20" t="s">
        <v>27</v>
      </c>
      <c r="B5" s="20"/>
      <c r="C5" s="23"/>
      <c r="D5" s="22">
        <v>476.43</v>
      </c>
      <c r="E5" s="20"/>
      <c r="F5" s="22">
        <v>639.45000000000005</v>
      </c>
    </row>
    <row r="6" spans="1:6" x14ac:dyDescent="0.2">
      <c r="A6" s="4" t="s">
        <v>28</v>
      </c>
      <c r="B6" s="4"/>
      <c r="C6" s="13"/>
      <c r="D6" s="13">
        <v>787.06</v>
      </c>
      <c r="E6" s="13"/>
      <c r="F6" s="13">
        <v>452.87</v>
      </c>
    </row>
    <row r="7" spans="1:6" x14ac:dyDescent="0.2">
      <c r="A7" s="4" t="s">
        <v>29</v>
      </c>
      <c r="B7" s="4"/>
      <c r="C7" s="4"/>
      <c r="D7" s="13">
        <v>493.21</v>
      </c>
      <c r="E7" s="4"/>
      <c r="F7" s="13">
        <v>622.66999999999996</v>
      </c>
    </row>
    <row r="8" spans="1:6" x14ac:dyDescent="0.2">
      <c r="A8" s="4"/>
      <c r="B8" s="4"/>
      <c r="C8" s="4"/>
      <c r="D8" s="4"/>
      <c r="E8" s="4"/>
      <c r="F8" s="13"/>
    </row>
    <row r="9" spans="1:6" x14ac:dyDescent="0.2">
      <c r="D9" s="19">
        <f>D4+D5+D6+D7</f>
        <v>2616.2799999999997</v>
      </c>
      <c r="F9" s="19">
        <f>F4+F5+F6+F7+F8</f>
        <v>2095.34</v>
      </c>
    </row>
    <row r="10" spans="1:6" x14ac:dyDescent="0.2">
      <c r="A10" s="2"/>
      <c r="B10" s="2"/>
      <c r="C10" s="2"/>
      <c r="D10" s="2"/>
      <c r="E10" s="2"/>
    </row>
    <row r="11" spans="1:6" x14ac:dyDescent="0.2">
      <c r="A11" s="2"/>
      <c r="B11" s="2"/>
      <c r="C11" s="2"/>
      <c r="D11" s="2"/>
      <c r="E11" s="2"/>
    </row>
    <row r="12" spans="1:6" x14ac:dyDescent="0.2">
      <c r="A12" s="3" t="s">
        <v>1</v>
      </c>
      <c r="B12" s="4"/>
      <c r="C12" s="3" t="s">
        <v>2</v>
      </c>
      <c r="D12" s="4"/>
      <c r="E12" s="3" t="s">
        <v>3</v>
      </c>
    </row>
    <row r="13" spans="1:6" x14ac:dyDescent="0.2">
      <c r="A13" s="3" t="s">
        <v>12</v>
      </c>
      <c r="B13" s="4"/>
      <c r="C13" s="3"/>
      <c r="D13" s="4"/>
      <c r="E13" s="3"/>
    </row>
    <row r="14" spans="1:6" s="26" customFormat="1" x14ac:dyDescent="0.2">
      <c r="A14" s="25" t="s">
        <v>6</v>
      </c>
      <c r="B14" s="25"/>
      <c r="C14" s="25">
        <v>48.92</v>
      </c>
      <c r="D14" s="25"/>
      <c r="E14" s="25">
        <v>48.92</v>
      </c>
    </row>
    <row r="15" spans="1:6" s="26" customFormat="1" x14ac:dyDescent="0.2">
      <c r="A15" s="25" t="s">
        <v>4</v>
      </c>
      <c r="B15" s="25"/>
      <c r="C15" s="27">
        <v>810.66</v>
      </c>
      <c r="D15" s="25"/>
      <c r="E15" s="27">
        <v>810.66</v>
      </c>
    </row>
    <row r="16" spans="1:6" s="26" customFormat="1" x14ac:dyDescent="0.2">
      <c r="A16" s="25" t="s">
        <v>7</v>
      </c>
      <c r="B16" s="25"/>
      <c r="C16" s="27">
        <v>356.1</v>
      </c>
      <c r="D16" s="25"/>
      <c r="E16" s="27">
        <v>356.1</v>
      </c>
    </row>
    <row r="17" spans="1:399" s="26" customFormat="1" x14ac:dyDescent="0.2">
      <c r="A17" s="25" t="s">
        <v>8</v>
      </c>
      <c r="B17" s="25"/>
      <c r="C17" s="27">
        <v>45</v>
      </c>
      <c r="D17" s="25"/>
      <c r="E17" s="27">
        <v>45</v>
      </c>
    </row>
    <row r="18" spans="1:399" s="26" customFormat="1" x14ac:dyDescent="0.2">
      <c r="A18" s="25" t="s">
        <v>9</v>
      </c>
      <c r="B18" s="25"/>
      <c r="C18" s="27">
        <v>7.25</v>
      </c>
      <c r="D18" s="25"/>
      <c r="E18" s="27">
        <v>7.25</v>
      </c>
    </row>
    <row r="19" spans="1:399" s="26" customFormat="1" x14ac:dyDescent="0.2">
      <c r="A19" s="25" t="s">
        <v>10</v>
      </c>
      <c r="B19" s="25"/>
      <c r="C19" s="27">
        <v>14.95</v>
      </c>
      <c r="D19" s="25"/>
      <c r="E19" s="27">
        <v>14.95</v>
      </c>
    </row>
    <row r="20" spans="1:399" s="26" customFormat="1" x14ac:dyDescent="0.2">
      <c r="A20" s="25" t="s">
        <v>11</v>
      </c>
      <c r="B20" s="25"/>
      <c r="C20" s="27">
        <v>53.13</v>
      </c>
      <c r="D20" s="25"/>
      <c r="E20" s="27">
        <v>53.13</v>
      </c>
    </row>
    <row r="21" spans="1:399" s="16" customFormat="1" x14ac:dyDescent="0.2">
      <c r="A21" s="14"/>
      <c r="B21" s="14"/>
      <c r="C21" s="15"/>
      <c r="D21" s="14"/>
      <c r="E21" s="15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</row>
    <row r="22" spans="1:399" x14ac:dyDescent="0.2">
      <c r="A22" s="3" t="s">
        <v>13</v>
      </c>
      <c r="B22" s="4"/>
      <c r="C22" s="7"/>
      <c r="D22" s="4"/>
      <c r="E22" s="7"/>
    </row>
    <row r="23" spans="1:399" s="24" customFormat="1" x14ac:dyDescent="0.2">
      <c r="A23" s="20" t="s">
        <v>14</v>
      </c>
      <c r="B23" s="20"/>
      <c r="C23" s="21">
        <v>390.58</v>
      </c>
      <c r="D23" s="20"/>
      <c r="E23" s="21">
        <v>390.58</v>
      </c>
    </row>
    <row r="24" spans="1:399" s="24" customFormat="1" x14ac:dyDescent="0.2">
      <c r="A24" s="20" t="s">
        <v>15</v>
      </c>
      <c r="B24" s="20"/>
      <c r="C24" s="21">
        <v>84.93</v>
      </c>
      <c r="D24" s="20"/>
      <c r="E24" s="21">
        <v>84.93</v>
      </c>
    </row>
    <row r="25" spans="1:399" s="24" customFormat="1" x14ac:dyDescent="0.2">
      <c r="A25" s="20" t="s">
        <v>16</v>
      </c>
      <c r="B25" s="20"/>
      <c r="C25" s="21">
        <v>311.55</v>
      </c>
      <c r="D25" s="20"/>
      <c r="E25" s="21">
        <v>311.55</v>
      </c>
    </row>
    <row r="26" spans="1:399" s="24" customFormat="1" x14ac:dyDescent="0.2">
      <c r="A26" s="20" t="s">
        <v>17</v>
      </c>
      <c r="B26" s="20"/>
      <c r="C26" s="21">
        <v>130.96</v>
      </c>
      <c r="D26" s="20"/>
      <c r="E26" s="21">
        <v>130.96</v>
      </c>
    </row>
    <row r="27" spans="1:399" x14ac:dyDescent="0.2">
      <c r="A27" s="4" t="s">
        <v>18</v>
      </c>
      <c r="B27" s="4"/>
      <c r="C27" s="7">
        <v>14.99</v>
      </c>
      <c r="D27" s="4"/>
      <c r="E27" s="7">
        <v>14.99</v>
      </c>
    </row>
    <row r="28" spans="1:399" s="24" customFormat="1" x14ac:dyDescent="0.2">
      <c r="A28" s="20" t="s">
        <v>0</v>
      </c>
      <c r="B28" s="20"/>
      <c r="C28" s="21">
        <v>161.32</v>
      </c>
      <c r="D28" s="20"/>
      <c r="E28" s="21">
        <v>161.32</v>
      </c>
    </row>
    <row r="29" spans="1:399" s="24" customFormat="1" x14ac:dyDescent="0.2">
      <c r="A29" s="20" t="s">
        <v>19</v>
      </c>
      <c r="B29" s="20"/>
      <c r="C29" s="21">
        <v>185.94</v>
      </c>
      <c r="D29" s="20"/>
      <c r="E29" s="21">
        <v>185.94</v>
      </c>
    </row>
    <row r="30" spans="1:399" x14ac:dyDescent="0.2">
      <c r="A30" s="10"/>
      <c r="B30" s="10"/>
      <c r="C30" s="10"/>
      <c r="D30" s="10"/>
      <c r="E30" s="10"/>
    </row>
    <row r="31" spans="1:399" x14ac:dyDescent="0.2">
      <c r="A31" s="8" t="s">
        <v>5</v>
      </c>
      <c r="B31" s="8"/>
      <c r="C31" s="9">
        <f>C14+C15+C16+C17+C18+C19+C20+C23+C24+C25+C26+C27+C28+C29</f>
        <v>2616.2800000000002</v>
      </c>
      <c r="D31" s="4"/>
      <c r="E31" s="4"/>
    </row>
    <row r="32" spans="1:399" x14ac:dyDescent="0.2">
      <c r="A32" s="4" t="s">
        <v>20</v>
      </c>
      <c r="B32" s="4"/>
      <c r="C32" s="7">
        <f>F9+D9</f>
        <v>4711.62</v>
      </c>
      <c r="D32" s="4"/>
      <c r="E32" s="4"/>
    </row>
    <row r="33" spans="1:5" x14ac:dyDescent="0.2">
      <c r="A33" s="4"/>
      <c r="B33" s="4"/>
      <c r="C33" s="4"/>
      <c r="D33" s="4"/>
      <c r="E33" s="4"/>
    </row>
    <row r="34" spans="1:5" x14ac:dyDescent="0.2">
      <c r="A34" s="11" t="s">
        <v>25</v>
      </c>
      <c r="B34" s="11"/>
      <c r="C34" s="12">
        <f>C32-C31</f>
        <v>2095.3399999999997</v>
      </c>
      <c r="D34" s="11"/>
      <c r="E34" s="11"/>
    </row>
  </sheetData>
  <mergeCells count="1">
    <mergeCell ref="C2:D2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136</vt:i4>
      </vt:variant>
    </vt:vector>
  </HeadingPairs>
  <TitlesOfParts>
    <vt:vector size="136" baseType="lpstr">
      <vt:lpstr>Lauren no longer working</vt:lpstr>
      <vt:lpstr>June 2022</vt:lpstr>
      <vt:lpstr>May 2022</vt:lpstr>
      <vt:lpstr>April 2022</vt:lpstr>
      <vt:lpstr>March 2022</vt:lpstr>
      <vt:lpstr>February 2022</vt:lpstr>
      <vt:lpstr>January 2022</vt:lpstr>
      <vt:lpstr>December 2021</vt:lpstr>
      <vt:lpstr>November 2021</vt:lpstr>
      <vt:lpstr>October 2021</vt:lpstr>
      <vt:lpstr>September 2021</vt:lpstr>
      <vt:lpstr>August 2021</vt:lpstr>
      <vt:lpstr>July 2021</vt:lpstr>
      <vt:lpstr>June 2021</vt:lpstr>
      <vt:lpstr>May 2021</vt:lpstr>
      <vt:lpstr>April 2021</vt:lpstr>
      <vt:lpstr>March 2021</vt:lpstr>
      <vt:lpstr>February 2021</vt:lpstr>
      <vt:lpstr>January 2021</vt:lpstr>
      <vt:lpstr>December 2020</vt:lpstr>
      <vt:lpstr>November 2020</vt:lpstr>
      <vt:lpstr>October 2020</vt:lpstr>
      <vt:lpstr>September 2020</vt:lpstr>
      <vt:lpstr>August 2020</vt:lpstr>
      <vt:lpstr>July 2020</vt:lpstr>
      <vt:lpstr>June 2020</vt:lpstr>
      <vt:lpstr>May 2020</vt:lpstr>
      <vt:lpstr>April 2020</vt:lpstr>
      <vt:lpstr>March 2020</vt:lpstr>
      <vt:lpstr>February 2020</vt:lpstr>
      <vt:lpstr>January 2020</vt:lpstr>
      <vt:lpstr>December 2019</vt:lpstr>
      <vt:lpstr>November 2019</vt:lpstr>
      <vt:lpstr>October 2019</vt:lpstr>
      <vt:lpstr>September 2019</vt:lpstr>
      <vt:lpstr>August 2019</vt:lpstr>
      <vt:lpstr>July 2019</vt:lpstr>
      <vt:lpstr>June 2019</vt:lpstr>
      <vt:lpstr>May 2019</vt:lpstr>
      <vt:lpstr>April 2019</vt:lpstr>
      <vt:lpstr>March 2019</vt:lpstr>
      <vt:lpstr>February 2019</vt:lpstr>
      <vt:lpstr>January 2019</vt:lpstr>
      <vt:lpstr>December 2018</vt:lpstr>
      <vt:lpstr>November 2018</vt:lpstr>
      <vt:lpstr>October 2018</vt:lpstr>
      <vt:lpstr>September 2018</vt:lpstr>
      <vt:lpstr>August 2018</vt:lpstr>
      <vt:lpstr>July 2018</vt:lpstr>
      <vt:lpstr>June 2018</vt:lpstr>
      <vt:lpstr>May 2018</vt:lpstr>
      <vt:lpstr>April 2018</vt:lpstr>
      <vt:lpstr>March 2018</vt:lpstr>
      <vt:lpstr>February 2018</vt:lpstr>
      <vt:lpstr>January 2018</vt:lpstr>
      <vt:lpstr>December 2017</vt:lpstr>
      <vt:lpstr>November 2017</vt:lpstr>
      <vt:lpstr>October 2017</vt:lpstr>
      <vt:lpstr>September 2017</vt:lpstr>
      <vt:lpstr>August 2017</vt:lpstr>
      <vt:lpstr>July 2017</vt:lpstr>
      <vt:lpstr>June 2017</vt:lpstr>
      <vt:lpstr>May 2017</vt:lpstr>
      <vt:lpstr>April 2017</vt:lpstr>
      <vt:lpstr>March 2017</vt:lpstr>
      <vt:lpstr>February 2017</vt:lpstr>
      <vt:lpstr>January 2017</vt:lpstr>
      <vt:lpstr>December 2016</vt:lpstr>
      <vt:lpstr>November 2016</vt:lpstr>
      <vt:lpstr>October 2016</vt:lpstr>
      <vt:lpstr>September 2016</vt:lpstr>
      <vt:lpstr>August 2016</vt:lpstr>
      <vt:lpstr>July 2016</vt:lpstr>
      <vt:lpstr>June 2016</vt:lpstr>
      <vt:lpstr>May 2016</vt:lpstr>
      <vt:lpstr>April 2016</vt:lpstr>
      <vt:lpstr>March 2016</vt:lpstr>
      <vt:lpstr>February 2016</vt:lpstr>
      <vt:lpstr>January 2016</vt:lpstr>
      <vt:lpstr>December 2015</vt:lpstr>
      <vt:lpstr>November 2015</vt:lpstr>
      <vt:lpstr>October 2015</vt:lpstr>
      <vt:lpstr>September 2015</vt:lpstr>
      <vt:lpstr>August 2015</vt:lpstr>
      <vt:lpstr>July 2015</vt:lpstr>
      <vt:lpstr>June 2015</vt:lpstr>
      <vt:lpstr>May 2015</vt:lpstr>
      <vt:lpstr>April 2015</vt:lpstr>
      <vt:lpstr>March 2015</vt:lpstr>
      <vt:lpstr>February 2015</vt:lpstr>
      <vt:lpstr>January 2015</vt:lpstr>
      <vt:lpstr>December 2014</vt:lpstr>
      <vt:lpstr>November 2014</vt:lpstr>
      <vt:lpstr>October 2014</vt:lpstr>
      <vt:lpstr>September 2014</vt:lpstr>
      <vt:lpstr>August 2014</vt:lpstr>
      <vt:lpstr>July 2014</vt:lpstr>
      <vt:lpstr>June 2014</vt:lpstr>
      <vt:lpstr>May 2014</vt:lpstr>
      <vt:lpstr>April 2014</vt:lpstr>
      <vt:lpstr>March 2014</vt:lpstr>
      <vt:lpstr>February 2014</vt:lpstr>
      <vt:lpstr>January 2014</vt:lpstr>
      <vt:lpstr>December 2013</vt:lpstr>
      <vt:lpstr>November 2013</vt:lpstr>
      <vt:lpstr>October 2013</vt:lpstr>
      <vt:lpstr>September 2013</vt:lpstr>
      <vt:lpstr>August 2013</vt:lpstr>
      <vt:lpstr>July 2013</vt:lpstr>
      <vt:lpstr>June 2013</vt:lpstr>
      <vt:lpstr>May 2013</vt:lpstr>
      <vt:lpstr>April 2013</vt:lpstr>
      <vt:lpstr>March 2013</vt:lpstr>
      <vt:lpstr>February 2013</vt:lpstr>
      <vt:lpstr>January 2013</vt:lpstr>
      <vt:lpstr>December 2012</vt:lpstr>
      <vt:lpstr>November 2012</vt:lpstr>
      <vt:lpstr>October 2012</vt:lpstr>
      <vt:lpstr>September 2012</vt:lpstr>
      <vt:lpstr>August 2012</vt:lpstr>
      <vt:lpstr>July 2012</vt:lpstr>
      <vt:lpstr>June 2012</vt:lpstr>
      <vt:lpstr>May 2012</vt:lpstr>
      <vt:lpstr>April 2012</vt:lpstr>
      <vt:lpstr>March 2012</vt:lpstr>
      <vt:lpstr>February 2012</vt:lpstr>
      <vt:lpstr>January 2012</vt:lpstr>
      <vt:lpstr>December 2011</vt:lpstr>
      <vt:lpstr>November 2011</vt:lpstr>
      <vt:lpstr>October 2011</vt:lpstr>
      <vt:lpstr>September 2011</vt:lpstr>
      <vt:lpstr>August 2011</vt:lpstr>
      <vt:lpstr>July 2011</vt:lpstr>
      <vt:lpstr>June 2011</vt:lpstr>
      <vt:lpstr>May 2011</vt:lpstr>
      <vt:lpstr>April 2011</vt:lpstr>
    </vt:vector>
  </TitlesOfParts>
  <Company>ABC Financial Services,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brianf</dc:creator>
  <cp:lastModifiedBy>Brian Faulk</cp:lastModifiedBy>
  <dcterms:created xsi:type="dcterms:W3CDTF">2010-07-05T20:43:49Z</dcterms:created>
  <dcterms:modified xsi:type="dcterms:W3CDTF">2026-04-27T11:43:59Z</dcterms:modified>
</cp:coreProperties>
</file>